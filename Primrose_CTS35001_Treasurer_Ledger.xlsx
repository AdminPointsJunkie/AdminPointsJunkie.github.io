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59326b94b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399de454f164f00"/>
    <x:sheet xmlns:r="http://schemas.openxmlformats.org/officeDocument/2006/relationships" name="AGM Budget &amp; Funding" sheetId="2" r:id="R7b52f8b8fb0e4af6"/>
    <x:sheet xmlns:r="http://schemas.openxmlformats.org/officeDocument/2006/relationships" name="Spending vs Budget" sheetId="3" r:id="R379ba57a28314346"/>
    <x:sheet xmlns:r="http://schemas.openxmlformats.org/officeDocument/2006/relationships" name="Cash Ledger" sheetId="4" r:id="Rc9b5abb500bc43fd"/>
    <x:sheet xmlns:r="http://schemas.openxmlformats.org/officeDocument/2006/relationships" name="Invoice Register" sheetId="5" r:id="R5971c1105a1243b0"/>
    <x:sheet xmlns:r="http://schemas.openxmlformats.org/officeDocument/2006/relationships" name="Fund Snapshots" sheetId="6" r:id="Rf55fa6181af841f2"/>
    <x:sheet xmlns:r="http://schemas.openxmlformats.org/officeDocument/2006/relationships" name="Document Register" sheetId="7" r:id="R6e2c098f23094cc0"/>
    <x:sheet xmlns:r="http://schemas.openxmlformats.org/officeDocument/2006/relationships" name="Checks" sheetId="8" r:id="Rdeff106cf1f7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$#,##0.00;[Red]($#,##0.00);-"/>
    <x:numFmt numFmtId="202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name val="Carlito"/>
    </x:font>
    <x:font>
      <x:b/>
      <x:sz val="11"/>
      <x:color rgb="FF0F766E"/>
      <x:name val="Carlito"/>
    </x:font>
    <x:font>
      <x:sz val="10"/>
      <x:color rgb="FF243342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</x:fills>
  <x:borders count="19">
    <x:border/>
    <x:border>
      <x:right style="thin">
        <x:color rgb="FFD8E1E8"/>
      </x:right>
    </x:border>
    <x:border>
      <x:left style="thin">
        <x:color rgb="FFD8E1E8"/>
      </x:left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  <x:border>
      <x:bottom style="thin">
        <x:color rgb="FFE8EEF2"/>
      </x:bottom>
    </x:border>
    <x:border>
      <x:top style="thin">
        <x:color rgb="FFE8EEF2"/>
      </x:top>
      <x:bottom style="thin">
        <x:color rgb="FFE8EEF2"/>
      </x:bottom>
    </x:border>
    <x:border>
      <x:top style="thin">
        <x:color rgb="FFE8EEF2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/>
    <x:xf numFmtId="201" fontId="0" fillId="5" borderId="6" xfId="0" applyNumberFormat="1" applyFont="1" applyFill="1" applyBorder="1"/>
    <x:xf numFmtId="201" fontId="0" fillId="6" borderId="6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/>
    <x:xf numFmtId="201" fontId="0" fillId="0" borderId="4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201" fontId="0" fillId="7" borderId="14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201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6" xfId="0" applyNumberFormat="1" applyFont="1" applyFill="1" applyBorder="1" applyAlignment="1">
      <x:alignment vertical="top"/>
    </x:xf>
    <x:xf numFmtId="0" fontId="7" fillId="0" borderId="17" xfId="0" applyNumberFormat="1" applyFont="1" applyFill="1" applyBorder="1" applyAlignment="1">
      <x:alignment vertical="top"/>
    </x:xf>
    <x:xf numFmtId="0" fontId="7" fillId="0" borderId="18" xfId="0" applyNumberFormat="1" applyFont="1" applyFill="1" applyBorder="1" applyAlignment="1">
      <x:alignment vertical="top"/>
    </x:xf>
    <x:xf numFmtId="200" fontId="7" fillId="0" borderId="16" xfId="0" applyNumberFormat="1" applyFont="1" applyFill="1" applyBorder="1" applyAlignment="1">
      <x:alignment vertical="top"/>
    </x:xf>
    <x:xf numFmtId="200" fontId="7" fillId="0" borderId="17" xfId="0" applyNumberFormat="1" applyFont="1" applyFill="1" applyBorder="1" applyAlignment="1">
      <x:alignment vertical="top"/>
    </x:xf>
    <x:xf numFmtId="200" fontId="7" fillId="0" borderId="18" xfId="0" applyNumberFormat="1" applyFont="1" applyFill="1" applyBorder="1" applyAlignment="1">
      <x:alignment vertical="top"/>
    </x:xf>
    <x:xf numFmtId="201" fontId="7" fillId="0" borderId="16" xfId="0" applyNumberFormat="1" applyFont="1" applyFill="1" applyBorder="1" applyAlignment="1">
      <x:alignment vertical="top"/>
    </x:xf>
    <x:xf numFmtId="201" fontId="7" fillId="0" borderId="17" xfId="0" applyNumberFormat="1" applyFont="1" applyFill="1" applyBorder="1" applyAlignment="1">
      <x:alignment vertical="top"/>
    </x:xf>
    <x:xf numFmtId="201" fontId="7" fillId="0" borderId="18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13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202" fontId="0" fillId="5" borderId="15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201" fontId="4" fillId="5" borderId="15" xfId="0" applyNumberFormat="1" applyFont="1" applyFill="1" applyBorder="1" applyAlignment="1">
      <x:alignment vertical="center" wrapText="1"/>
    </x:xf>
    <x:xf numFmtId="202" fontId="4" fillId="5" borderId="15" xfId="0" applyNumberFormat="1" applyFont="1" applyFill="1" applyBorder="1" applyAlignment="1">
      <x:alignment vertical="center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3fc4a21034cfb" /><Relationship Type="http://schemas.openxmlformats.org/officeDocument/2006/relationships/theme" Target="/xl/theme/theme1.xml" Id="R3c47e0adafa04fba" /><Relationship Type="http://schemas.microsoft.com/office/2022/11/relationships/FeaturePropertyBag" Target="/xl/featurePropertyBag/featurePropertyBag.xml" Id="R01504ef8bed44a5f" /><Relationship Type="http://schemas.openxmlformats.org/officeDocument/2006/relationships/sharedStrings" Target="/xl/sharedStrings.xml" Id="R4c9f0aa4c0d044f0" /><Relationship Type="http://schemas.openxmlformats.org/officeDocument/2006/relationships/worksheet" Target="/xl/worksheets/sheet1.xml" Id="R4399de454f164f00" /><Relationship Type="http://schemas.openxmlformats.org/officeDocument/2006/relationships/worksheet" Target="/xl/worksheets/sheet2.xml" Id="R7b52f8b8fb0e4af6" /><Relationship Type="http://schemas.openxmlformats.org/officeDocument/2006/relationships/worksheet" Target="/xl/worksheets/sheet3.xml" Id="R379ba57a28314346" /><Relationship Type="http://schemas.openxmlformats.org/officeDocument/2006/relationships/worksheet" Target="/xl/worksheets/sheet4.xml" Id="Rc9b5abb500bc43fd" /><Relationship Type="http://schemas.openxmlformats.org/officeDocument/2006/relationships/worksheet" Target="/xl/worksheets/sheet5.xml" Id="R5971c1105a1243b0" /><Relationship Type="http://schemas.openxmlformats.org/officeDocument/2006/relationships/worksheet" Target="/xl/worksheets/sheet6.xml" Id="Rf55fa6181af841f2" /><Relationship Type="http://schemas.openxmlformats.org/officeDocument/2006/relationships/worksheet" Target="/xl/worksheets/sheet7.xml" Id="R6e2c098f23094cc0" /><Relationship Type="http://schemas.openxmlformats.org/officeDocument/2006/relationships/worksheet" Target="/xl/worksheets/sheet8.xml" Id="Rdeff106cf1f744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cd640d78364e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Fund cash balances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ADMIN CASH</c:v>
          </c:tx>
          <c:marker>
            <c:symbol val="none"/>
          </c:marker>
          <c:cat>
            <c:strRef>
              <c:f>'Start Here'!$E$5:$E$11</c:f>
              <c:strCache>
                <c:ptCount val="0"/>
              </c:strCache>
            </c:strRef>
          </c:cat>
          <c:val>
            <c:numRef>
              <c:f>'Start Here'!$F$5:$F$11</c:f>
              <c:numCache>
                <c:formatCode>$#,##0.00;[Red]($#,##0.00);-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SINKING CASH</c:v>
          </c:tx>
          <c:marker>
            <c:symbol val="none"/>
          </c:marker>
          <c:cat>
            <c:strRef>
              <c:f>'Start Here'!$E$5:$E$11</c:f>
              <c:strCache>
                <c:ptCount val="0"/>
              </c:strCache>
            </c:strRef>
          </c:cat>
          <c:val>
            <c:numRef>
              <c:f>'Start Here'!$G$5:$G$11</c:f>
              <c:numCache>
                <c:formatCode>$#,##0.00;[Red]($#,##0.00);-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d640d78364e6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shLedgerTable" displayName="CashLedgerTable" ref="A4:K115" headerRowCount="1" totalsRowCount="0" totalsRowShown="0">
  <x:tableColumns count="11">
    <x:tableColumn id="1" name="Date"/>
    <x:tableColumn id="2" name="Description"/>
    <x:tableColumn id="3" name="Type"/>
    <x:tableColumn id="4" name="Direction"/>
    <x:tableColumn id="5" name="Fund"/>
    <x:tableColumn id="6" name="Category"/>
    <x:tableColumn id="7" name="Debit"/>
    <x:tableColumn id="8" name="Credit"/>
    <x:tableColumn id="9" name="Bank Balance"/>
    <x:tableColumn id="10" name="Confidence"/>
    <x:tableColumn id="11" name="Source PD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RegisterTable" displayName="InvoiceRegisterTable" ref="A4:M57" headerRowCount="1" totalsRowCount="0" totalsRowShown="0">
  <x:tableColumns count="13">
    <x:tableColumn id="1" name="Invoice Date"/>
    <x:tableColumn id="2" name="Vendor"/>
    <x:tableColumn id="3" name="Invoice #"/>
    <x:tableColumn id="4" name="Description"/>
    <x:tableColumn id="5" name="Fund"/>
    <x:tableColumn id="6" name="Category"/>
    <x:tableColumn id="7" name="Amount ex GST"/>
    <x:tableColumn id="8" name="GST"/>
    <x:tableColumn id="9" name="Total inc GST"/>
    <x:tableColumn id="10" name="Payment Date"/>
    <x:tableColumn id="11" name="Source PDF"/>
    <x:tableColumn id="12" name="Status"/>
    <x:tableColumn id="13" name="Duplica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undSnapshotsTable" displayName="FundSnapshotsTable" ref="A1:H8" headerRowCount="1" totalsRowCount="0" totalsRowShown="0">
  <x:tableColumns count="8">
    <x:tableColumn id="1" name="As of"/>
    <x:tableColumn id="2" name="Admin Cash"/>
    <x:tableColumn id="3" name="Sinking Cash"/>
    <x:tableColumn id="4" name="Combined Cash"/>
    <x:tableColumn id="5" name="Admin Income YTD"/>
    <x:tableColumn id="6" name="Admin Expense YTD"/>
    <x:tableColumn id="7" name="Sinking Income YTD"/>
    <x:tableColumn id="8" name="Sinking Expense YT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umentRegisterTable" displayName="DocumentRegisterTable" ref="A4:G78" headerRowCount="1" totalsRowCount="0" totalsRowShown="0">
  <x:tableColumns count="7">
    <x:tableColumn id="1" name="Source PDF"/>
    <x:tableColumn id="2" name="Document Type"/>
    <x:tableColumn id="3" name="Pages"/>
    <x:tableColumn id="4" name="File Size (KB)"/>
    <x:tableColumn id="5" name="Text Length"/>
    <x:tableColumn id="6" name="Duplicate Text"/>
    <x:tableColumn id="7" name="Extraction Statu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4436e64d52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3fd0ac7c1b74b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60e9568e77249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da55147b4a14f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e57cab706d847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</x:cols>
  <x:sheetData>
    <x:row r="1" ht="34" customHeight="1">
      <x:c r="A1" s="3" t="str">
        <x:v>CTS 35001 Financial Ledger | 31 July 2026</x:v>
      </x:c>
      <x:c r="B1" s="3" t="str">
        <x:v>CTS 35001 Financial Ledger | 31 July 2026</x:v>
      </x:c>
      <x:c r="C1" s="3" t="str">
        <x:v>CTS 35001 Financial Ledger | 31 July 2026</x:v>
      </x:c>
      <x:c r="D1" s="3" t="str">
        <x:v>CTS 35001 Financial Ledger | 31 July 2026</x:v>
      </x:c>
      <x:c r="E1" s="3" t="str">
        <x:v>CTS 35001 Financial Ledger | 31 July 2026</x:v>
      </x:c>
      <x:c r="F1" s="3" t="str">
        <x:v>CTS 35001 Financial Ledger | 31 July 2026</x:v>
      </x:c>
      <x:c r="G1" s="3" t="str">
        <x:v>CTS 35001 Financial Ledger | 31 July 2026</x:v>
      </x:c>
      <x:c r="H1" s="3" t="str">
        <x:v>CTS 35001 Financial Ledger | 31 July 2026</x:v>
      </x:c>
      <x:c r="I1" s="3" t="str">
        <x:v>CTS 35001 Financial Ledger | 31 July 2026</x:v>
      </x:c>
      <x:c r="J1" s="3" t="str">
        <x:v>CTS 35001 Financial Ledger | 31 July 2026</x:v>
      </x:c>
    </x:row>
    <x:row r="2" ht="26" customHeight="1">
      <x:c r="A2" s="6" t="str">
        <x:v>A short committee summary. Open AGM Budget &amp; Funding for income, opening balances, the bank loan and the revised deficit.</x:v>
      </x:c>
      <x:c r="B2" s="6" t="str">
        <x:v>A short committee summary. Open AGM Budget &amp; Funding for income, opening balances, the bank loan and the revised deficit.</x:v>
      </x:c>
      <x:c r="C2" s="6" t="str">
        <x:v>A short committee summary. Open AGM Budget &amp; Funding for income, opening balances, the bank loan and the revised deficit.</x:v>
      </x:c>
      <x:c r="D2" s="6" t="str">
        <x:v>A short committee summary. Open AGM Budget &amp; Funding for income, opening balances, the bank loan and the revised deficit.</x:v>
      </x:c>
      <x:c r="E2" s="6" t="str">
        <x:v>A short committee summary. Open AGM Budget &amp; Funding for income, opening balances, the bank loan and the revised deficit.</x:v>
      </x:c>
      <x:c r="F2" s="6" t="str">
        <x:v>A short committee summary. Open AGM Budget &amp; Funding for income, opening balances, the bank loan and the revised deficit.</x:v>
      </x:c>
      <x:c r="G2" s="6" t="str">
        <x:v>A short committee summary. Open AGM Budget &amp; Funding for income, opening balances, the bank loan and the revised deficit.</x:v>
      </x:c>
      <x:c r="H2" s="6" t="str">
        <x:v>A short committee summary. Open AGM Budget &amp; Funding for income, opening balances, the bank loan and the revised deficit.</x:v>
      </x:c>
      <x:c r="I2" s="6" t="str">
        <x:v>A short committee summary. Open AGM Budget &amp; Funding for income, opening balances, the bank loan and the revised deficit.</x:v>
      </x:c>
      <x:c r="J2" s="6" t="str">
        <x:v>A short committee summary. Open AGM Budget &amp; Funding for income, opening balances, the bank loan and the revised deficit.</x:v>
      </x:c>
    </x:row>
    <x:row r="4" ht="28" customHeight="1">
      <x:c r="A4" s="13" t="str">
        <x:v>REPORTING POSITION</x:v>
      </x:c>
      <x:c r="B4" s="14" t="str">
        <x:v>VALUE</x:v>
      </x:c>
      <x:c r="E4" s="13" t="str">
        <x:v>MONTH</x:v>
      </x:c>
      <x:c r="F4" s="30" t="str">
        <x:v>ADMIN CASH</x:v>
      </x:c>
      <x:c r="G4" s="30" t="str">
        <x:v>SINKING CASH</x:v>
      </x:c>
      <x:c r="H4" s="14" t="str">
        <x:v>COMBINED CASH</x:v>
      </x:c>
    </x:row>
    <x:row r="5">
      <x:c r="A5" s="23" t="str">
        <x:v>Latest financial report</x:v>
      </x:c>
      <x:c r="B5" s="18" t="n">
        <x:f>'Fund Snapshots'!A8</x:f>
        <x:v>46234</x:v>
      </x:c>
      <x:c r="E5" s="17" t="str">
        <x:f>TEXT('Fund Snapshots'!A2,"mmm yyyy")</x:f>
        <x:v>Jan 2026</x:v>
      </x:c>
      <x:c r="F5" s="31" t="n">
        <x:f>'Fund Snapshots'!B2</x:f>
        <x:v>24821.77</x:v>
      </x:c>
      <x:c r="G5" s="31" t="n">
        <x:f>'Fund Snapshots'!C2</x:f>
        <x:v>98909.81</x:v>
      </x:c>
      <x:c r="H5" s="32" t="n">
        <x:f>'Fund Snapshots'!D2</x:f>
        <x:v>123731.58</x:v>
      </x:c>
    </x:row>
    <x:row r="6">
      <x:c r="A6" s="24" t="str">
        <x:v>Administrative fund cash</x:v>
      </x:c>
      <x:c r="B6" s="26" t="n">
        <x:f>'Fund Snapshots'!B8</x:f>
        <x:v>19818.82</x:v>
      </x:c>
      <x:c r="E6" s="19" t="str">
        <x:f>TEXT('Fund Snapshots'!A3,"mmm yyyy")</x:f>
        <x:v>Feb 2026</x:v>
      </x:c>
      <x:c r="F6" s="33" t="n">
        <x:f>'Fund Snapshots'!B3</x:f>
        <x:v>11775.03</x:v>
      </x:c>
      <x:c r="G6" s="33" t="n">
        <x:f>'Fund Snapshots'!C3</x:f>
        <x:v>126654.71</x:v>
      </x:c>
      <x:c r="H6" s="20" t="n">
        <x:f>'Fund Snapshots'!D3</x:f>
        <x:v>138429.74</x:v>
      </x:c>
    </x:row>
    <x:row r="7">
      <x:c r="A7" s="24" t="str">
        <x:v>Sinking fund cash</x:v>
      </x:c>
      <x:c r="B7" s="27" t="n">
        <x:f>'Fund Snapshots'!C8</x:f>
        <x:v>130984.65</x:v>
      </x:c>
      <x:c r="E7" s="19" t="str">
        <x:f>TEXT('Fund Snapshots'!A4,"mmm yyyy")</x:f>
        <x:v>Mar 2026</x:v>
      </x:c>
      <x:c r="F7" s="33" t="n">
        <x:f>'Fund Snapshots'!B4</x:f>
        <x:v>10014.55</x:v>
      </x:c>
      <x:c r="G7" s="33" t="n">
        <x:f>'Fund Snapshots'!C4</x:f>
        <x:v>126943.15</x:v>
      </x:c>
      <x:c r="H7" s="20" t="n">
        <x:f>'Fund Snapshots'!D4</x:f>
        <x:v>136957.7</x:v>
      </x:c>
    </x:row>
    <x:row r="8">
      <x:c r="A8" s="24" t="str">
        <x:v>Combined cash</x:v>
      </x:c>
      <x:c r="B8" s="20" t="n">
        <x:f>'Fund Snapshots'!D8</x:f>
        <x:v>150803.47</x:v>
      </x:c>
      <x:c r="E8" s="19" t="str">
        <x:f>TEXT('Fund Snapshots'!A5,"mmm yyyy")</x:f>
        <x:v>Apr 2026</x:v>
      </x:c>
      <x:c r="F8" s="33" t="n">
        <x:f>'Fund Snapshots'!B5</x:f>
        <x:v>8753.67</x:v>
      </x:c>
      <x:c r="G8" s="33" t="n">
        <x:f>'Fund Snapshots'!C5</x:f>
        <x:v>124908.15</x:v>
      </x:c>
      <x:c r="H8" s="20" t="n">
        <x:f>'Fund Snapshots'!D5</x:f>
        <x:v>133661.82</x:v>
      </x:c>
    </x:row>
    <x:row r="9">
      <x:c r="A9" s="25" t="str">
        <x:v>Invoices after latest bank statement</x:v>
      </x:c>
      <x:c r="B9" s="22" t="n">
        <x:f>SUMIFS('Invoice Register'!$I$5:$I$57,'Invoice Register'!$L$5:$L$57,"After latest bank statement")</x:f>
        <x:v>415.92</x:v>
      </x:c>
      <x:c r="E9" s="19" t="str">
        <x:f>TEXT('Fund Snapshots'!A6,"mmm yyyy")</x:f>
        <x:v>May 2026</x:v>
      </x:c>
      <x:c r="F9" s="33" t="n">
        <x:f>'Fund Snapshots'!B6</x:f>
        <x:v>12338.16</x:v>
      </x:c>
      <x:c r="G9" s="33" t="n">
        <x:f>'Fund Snapshots'!C6</x:f>
        <x:v>127219.65</x:v>
      </x:c>
      <x:c r="H9" s="20" t="n">
        <x:f>'Fund Snapshots'!D6</x:f>
        <x:v>139557.81</x:v>
      </x:c>
    </x:row>
    <x:row r="10">
      <x:c r="E10" s="19" t="str">
        <x:f>TEXT('Fund Snapshots'!A7,"mmm yyyy")</x:f>
        <x:v>Jun 2026</x:v>
      </x:c>
      <x:c r="F10" s="33" t="n">
        <x:f>'Fund Snapshots'!B7</x:f>
        <x:v>17464.53</x:v>
      </x:c>
      <x:c r="G10" s="33" t="n">
        <x:f>'Fund Snapshots'!C7</x:f>
        <x:v>130319.65</x:v>
      </x:c>
      <x:c r="H10" s="20" t="n">
        <x:f>'Fund Snapshots'!D7</x:f>
        <x:v>147784.18</x:v>
      </x:c>
    </x:row>
    <x:row r="11" ht="28" customHeight="1">
      <x:c r="A11" s="13" t="str">
        <x:v>FUND</x:v>
      </x:c>
      <x:c r="B11" s="30" t="str">
        <x:v>PAID CASH EXPENDITURE</x:v>
      </x:c>
      <x:c r="C11" s="14" t="str">
        <x:v>INVOICE VALUE</x:v>
      </x:c>
      <x:c r="E11" s="21" t="str">
        <x:f>TEXT('Fund Snapshots'!A8,"mmm yyyy")</x:f>
        <x:v>Jul 2026</x:v>
      </x:c>
      <x:c r="F11" s="34" t="n">
        <x:f>'Fund Snapshots'!B8</x:f>
        <x:v>19818.82</x:v>
      </x:c>
      <x:c r="G11" s="34" t="n">
        <x:f>'Fund Snapshots'!C8</x:f>
        <x:v>130984.65</x:v>
      </x:c>
      <x:c r="H11" s="22" t="n">
        <x:f>'Fund Snapshots'!D8</x:f>
        <x:v>150803.47</x:v>
      </x:c>
    </x:row>
    <x:row r="12">
      <x:c r="A12" s="17" t="str">
        <x:v>Administrative</x:v>
      </x:c>
      <x:c r="B12" s="31" t="n">
        <x:f>SUMIFS('Cash Ledger'!$G$5:$G$115,'Cash Ledger'!$E$5:$E$115,A12)</x:f>
        <x:v>32486.629999999997</x:v>
      </x:c>
      <x:c r="C12" s="32" t="n">
        <x:f>SUMIFS('Invoice Register'!$I$5:$I$57,'Invoice Register'!$E$5:$E$57,A12)</x:f>
        <x:v>13500.859999999999</x:v>
      </x:c>
    </x:row>
    <x:row r="13">
      <x:c r="A13" s="19" t="str">
        <x:v>Sinking</x:v>
      </x:c>
      <x:c r="B13" s="33" t="n">
        <x:f>SUMIFS('Cash Ledger'!$G$5:$G$115,'Cash Ledger'!$E$5:$E$115,A13)</x:f>
        <x:v>16122.1</x:v>
      </x:c>
      <x:c r="C13" s="20" t="n">
        <x:f>SUMIFS('Invoice Register'!$I$5:$I$57,'Invoice Register'!$E$5:$E$57,A13)</x:f>
        <x:v>16122.1</x:v>
      </x:c>
    </x:row>
    <x:row r="14">
      <x:c r="A14" s="21" t="str">
        <x:v>Unallocated</x:v>
      </x:c>
      <x:c r="B14" s="34" t="n">
        <x:f>SUMIFS('Cash Ledger'!$G$5:$G$115,'Cash Ledger'!$E$5:$E$115,A14)</x:f>
        <x:v>0</x:v>
      </x:c>
      <x:c r="C14" s="22" t="n">
        <x:f>SUMIFS('Invoice Register'!$I$5:$I$57,'Invoice Register'!$E$5:$E$57,A14)</x:f>
        <x:v>0</x:v>
      </x:c>
    </x:row>
    <x:row r="17" ht="28" customHeight="1">
      <x:c r="A17" s="13" t="str">
        <x:v>IMPORTANT</x:v>
      </x:c>
      <x:c r="B17" s="30" t="str">
        <x:v>CONTROL</x:v>
      </x:c>
      <x:c r="C17" s="14" t="str">
        <x:v>STATUS</x:v>
      </x:c>
    </x:row>
    <x:row r="18">
      <x:c r="A18" s="44" t="str">
        <x:v>Cash basis</x:v>
      </x:c>
      <x:c r="B18" s="41" t="str">
        <x:v>Bank rows reflect actual cash movements; invoice rows are a separate accrual/payment register.</x:v>
      </x:c>
      <x:c r="C18" s="47" t="str">
        <x:f>'Checks'!C5</x:f>
        <x:v>PASS</x:v>
      </x:c>
    </x:row>
    <x:row r="19">
      <x:c r="A19" s="45" t="str">
        <x:v>Fund allocation</x:v>
      </x:c>
      <x:c r="B19" s="42" t="str">
        <x:v>Outgoing supplier payments are allocated from invoice purpose and the fund reports. Levy deposits remain Unallocated at transaction level.</x:v>
      </x:c>
      <x:c r="C19" s="48" t="str">
        <x:f>'Checks'!C6</x:f>
        <x:v>PASS</x:v>
      </x:c>
    </x:row>
    <x:row r="20">
      <x:c r="A20" s="45" t="str">
        <x:v>Duplicate handling</x:v>
      </x:c>
      <x:c r="B20" s="42" t="str">
        <x:v>Duplicate invoice downloads are excluded from the invoice register and totals; source PDFs remain listed in the document register.</x:v>
      </x:c>
      <x:c r="C20" s="48" t="str">
        <x:f>'Checks'!C7</x:f>
        <x:v>PASS</x:v>
      </x:c>
    </x:row>
    <x:row r="21">
      <x:c r="A21" s="45" t="str">
        <x:v>Latest statement</x:v>
      </x:c>
      <x:c r="B21" s="42" t="str">
        <x:v>Bank evidence ends 31 Jul 2026. Later invoices are not marked unpaid; they are labelled after latest statement.</x:v>
      </x:c>
      <x:c r="C21" s="48" t="str">
        <x:f>'Checks'!C8</x:f>
        <x:v>PASS</x:v>
      </x:c>
    </x:row>
    <x:row r="22">
      <x:c r="A22" s="46" t="str">
        <x:v>Review</x:v>
      </x:c>
      <x:c r="B22" s="43" t="str">
        <x:v>Use the Checks sheet before relying on the workbook for a committee report or payment decision.</x:v>
      </x:c>
      <x:c r="C22" s="49" t="str">
        <x:f>'Checks'!C9</x:f>
        <x:v>PASS</x:v>
      </x:c>
    </x:row>
    <x:row r="24" ht="28" customHeight="1">
      <x:c r="A24" s="13" t="str">
        <x:v>FUNDING POSITION</x:v>
      </x:c>
      <x:c r="B24" s="30" t="str">
        <x:v>VALUE</x:v>
      </x:c>
      <x:c r="C24" s="14" t="str">
        <x:v>READING</x:v>
      </x:c>
    </x:row>
    <x:row r="25">
      <x:c r="A25" s="38" t="str">
        <x:v>Bank loan (AGM: External funds)</x:v>
      </x:c>
      <x:c r="B25" s="50" t="n">
        <x:v>115000</x:v>
      </x:c>
      <x:c r="C25" s="59" t="str">
        <x:v>BANK DEBT</x:v>
      </x:c>
    </x:row>
    <x:row r="26">
      <x:c r="A26" s="53" t="str">
        <x:v>Original Sinking cash less loan</x:v>
      </x:c>
      <x:c r="B26" s="54" t="n">
        <x:v>-75632.32</x:v>
      </x:c>
      <x:c r="C26" s="60" t="str">
        <x:v>ORIGINAL POSITION</x:v>
      </x:c>
    </x:row>
    <x:row r="27">
      <x:c r="A27" s="55" t="str">
        <x:v>Confirmed cancelled works</x:v>
      </x:c>
      <x:c r="B27" s="56" t="n">
        <x:v>95000</x:v>
      </x:c>
      <x:c r="C27" s="61" t="str">
        <x:v>$80K + $15K</x:v>
      </x:c>
    </x:row>
    <x:row r="28">
      <x:c r="A28" s="53" t="str">
        <x:v>Revised combined operating result</x:v>
      </x:c>
      <x:c r="B28" s="54" t="n">
        <x:v>-13130.63</x:v>
      </x:c>
      <x:c r="C28" s="60" t="str">
        <x:v>OPERATING DEFICIT</x:v>
      </x:c>
    </x:row>
    <x:row r="29">
      <x:c r="A29" s="57" t="str">
        <x:v>Revised year-end cash less loan</x:v>
      </x:c>
      <x:c r="B29" s="58" t="n">
        <x:v>36935.99</x:v>
      </x:c>
      <x:c r="C29" s="62" t="str">
        <x:v>POSITIVE CASH</x:v>
      </x:c>
    </x:row>
    <x:row r="32" ht="28" customHeight="1">
      <x:c r="A32" s="13" t="str">
        <x:v>WHAT TO DO NEXT</x:v>
      </x:c>
      <x:c r="B32" s="30" t="str">
        <x:v>WHY</x:v>
      </x:c>
      <x:c r="C32" s="14" t="str">
        <x:v>PRIORITY</x:v>
      </x:c>
    </x:row>
    <x:row r="33">
      <x:c r="A33" s="41" t="str">
        <x:v>Plan for the $13,131 operating deficit</x:v>
      </x:c>
      <x:c r="B33" s="41" t="str">
        <x:v>After cancellations, annual expenses still exceed owner income; opening cash covers it.</x:v>
      </x:c>
      <x:c r="C33" s="63" t="str">
        <x:v>NOW</x:v>
      </x:c>
    </x:row>
    <x:row r="34">
      <x:c r="A34" s="42" t="str">
        <x:v>Record both cancellations</x:v>
      </x:c>
      <x:c r="B34" s="42" t="str">
        <x:v>$80,000 Building Repairs and $15,000 Unit 9 owner expense remain visible and marked cancelled.</x:v>
      </x:c>
      <x:c r="C34" s="64" t="str">
        <x:v>MINUTES</x:v>
      </x:c>
    </x:row>
    <x:row r="35">
      <x:c r="A35" s="43" t="str">
        <x:v>Confirm loan interest and repayments</x:v>
      </x:c>
      <x:c r="B35" s="43" t="str">
        <x:v>They are not shown in the AGM budget and would worsen the position.</x:v>
      </x:c>
      <x:c r="C35" s="65" t="str">
        <x:v>COMMITTEE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ad4436e64d524ba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24" hidden="0" customWidth="1"/>
    <x:col min="4" max="4" width="36" hidden="0" customWidth="1"/>
    <x:col min="5" max="5" width="17" hidden="0" customWidth="1"/>
    <x:col min="6" max="6" width="24" hidden="0" customWidth="1"/>
  </x:cols>
  <x:sheetData>
    <x:row r="1" ht="34" customHeight="1">
      <x:c r="A1" s="3" t="str">
        <x:v>AGM Budget, Income &amp; Funding</x:v>
      </x:c>
      <x:c r="B1" s="3" t="str">
        <x:v>AGM Budget, Income &amp; Funding</x:v>
      </x:c>
      <x:c r="C1" s="3" t="str">
        <x:v>AGM Budget, Income &amp; Funding</x:v>
      </x:c>
      <x:c r="D1" s="3" t="str">
        <x:v>AGM Budget, Income &amp; Funding</x:v>
      </x:c>
      <x:c r="E1" s="3" t="str">
        <x:v>AGM Budget, Income &amp; Funding</x:v>
      </x:c>
      <x:c r="F1" s="3" t="str">
        <x:v>AGM Budget, Income &amp; Funding</x:v>
      </x:c>
    </x:row>
    <x:row r="2" ht="26" customHeight="1">
      <x:c r="A2" s="6" t="str">
        <x:v>The AGM called $115,000 'External funds'. It is a bank loan. Building Repairs and Unit 9 owner expense remain visible below as cancelled.</x:v>
      </x:c>
      <x:c r="B2" s="6" t="str">
        <x:v>The AGM called $115,000 'External funds'. It is a bank loan. Building Repairs and Unit 9 owner expense remain visible below as cancelled.</x:v>
      </x:c>
      <x:c r="C2" s="6" t="str">
        <x:v>The AGM called $115,000 'External funds'. It is a bank loan. Building Repairs and Unit 9 owner expense remain visible below as cancelled.</x:v>
      </x:c>
      <x:c r="D2" s="6" t="str">
        <x:v>The AGM called $115,000 'External funds'. It is a bank loan. Building Repairs and Unit 9 owner expense remain visible below as cancelled.</x:v>
      </x:c>
      <x:c r="E2" s="6" t="str">
        <x:v>The AGM called $115,000 'External funds'. It is a bank loan. Building Repairs and Unit 9 owner expense remain visible below as cancelled.</x:v>
      </x:c>
      <x:c r="F2" s="6" t="str">
        <x:v>The AGM called $115,000 'External funds'. It is a bank loan. Building Repairs and Unit 9 owner expense remain visible below as cancelled.</x:v>
      </x:c>
    </x:row>
    <x:row r="4" ht="28" customHeight="1">
      <x:c r="A4" s="13" t="str">
        <x:v>SINKING FUND CASH BRIDGE</x:v>
      </x:c>
      <x:c r="B4" s="30" t="str">
        <x:v>AMOUNT</x:v>
      </x:c>
      <x:c r="C4" s="14" t="str">
        <x:v>READING</x:v>
      </x:c>
      <x:c r="D4" s="13" t="str">
        <x:v>ADMINISTRATIVE FUND</x:v>
      </x:c>
      <x:c r="E4" s="30" t="str">
        <x:v>AMOUNT</x:v>
      </x:c>
      <x:c r="F4" s="14" t="str">
        <x:v>READING</x:v>
      </x:c>
    </x:row>
    <x:row r="5">
      <x:c r="A5" s="72" t="str">
        <x:v>Opening balance</x:v>
      </x:c>
      <x:c r="B5" s="73" t="n">
        <x:v>26696.96</x:v>
      </x:c>
      <x:c r="C5" s="72" t="str">
        <x:v>CASH BROUGHT FORWARD</x:v>
      </x:c>
      <x:c r="D5" s="72" t="str">
        <x:v>Opening balance</x:v>
      </x:c>
      <x:c r="E5" s="73" t="n">
        <x:v>23369.66</x:v>
      </x:c>
      <x:c r="F5" s="72" t="str">
        <x:v>CASH BROUGHT FORWARD</x:v>
      </x:c>
    </x:row>
    <x:row r="6">
      <x:c r="A6" s="72" t="str">
        <x:v>Net owner contributions + special levy</x:v>
      </x:c>
      <x:c r="B6" s="73" t="n">
        <x:v>127670.72</x:v>
      </x:c>
      <x:c r="C6" s="72" t="str">
        <x:v>OWNER FUNDING</x:v>
      </x:c>
      <x:c r="D6" s="72" t="str">
        <x:v>Net contribution income</x:v>
      </x:c>
      <x:c r="E6" s="73" t="n">
        <x:v>32540.73</x:v>
      </x:c>
      <x:c r="F6" s="72" t="str">
        <x:v>AFTER DISCOUNT</x:v>
      </x:c>
    </x:row>
    <x:row r="7">
      <x:c r="A7" s="72" t="str">
        <x:v>Bank loan (AGM: External funds)</x:v>
      </x:c>
      <x:c r="B7" s="73" t="n">
        <x:v>115000</x:v>
      </x:c>
      <x:c r="C7" s="72" t="str">
        <x:v>DEBT, NOT INCOME</x:v>
      </x:c>
      <x:c r="D7" s="72" t="str">
        <x:v>Approved expenditure</x:v>
      </x:c>
      <x:c r="E7" s="73" t="n">
        <x:v>-38342.08</x:v>
      </x:c>
      <x:c r="F7" s="72" t="str">
        <x:v>ANNUAL BUDGET</x:v>
      </x:c>
    </x:row>
    <x:row r="8">
      <x:c r="A8" s="72" t="str">
        <x:v>Original AGM expenditure</x:v>
      </x:c>
      <x:c r="B8" s="73" t="n">
        <x:v>-230000</x:v>
      </x:c>
      <x:c r="C8" s="72" t="str">
        <x:v>APPROVED</x:v>
      </x:c>
      <x:c r="D8" s="74" t="str">
        <x:v>Operating result</x:v>
      </x:c>
      <x:c r="E8" s="75" t="n">
        <x:v>-5801.35</x:v>
      </x:c>
      <x:c r="F8" s="74" t="str">
        <x:v>DEFICIT</x:v>
      </x:c>
    </x:row>
    <x:row r="9">
      <x:c r="A9" s="76" t="str">
        <x:v>Cancelled: Building Repairs</x:v>
      </x:c>
      <x:c r="B9" s="77" t="n">
        <x:v>80000</x:v>
      </x:c>
      <x:c r="C9" s="76" t="str">
        <x:v>NO LONGER PROCEEDING</x:v>
      </x:c>
      <x:c r="D9" s="72" t="str">
        <x:v>Planned closing balance</x:v>
      </x:c>
      <x:c r="E9" s="73" t="n">
        <x:v>17568.31</x:v>
      </x:c>
      <x:c r="F9" s="72" t="str">
        <x:v>CASH</x:v>
      </x:c>
    </x:row>
    <x:row r="10">
      <x:c r="A10" s="76" t="str">
        <x:v>Cancelled: Unit 9 owner expense</x:v>
      </x:c>
      <x:c r="B10" s="77" t="n">
        <x:v>15000</x:v>
      </x:c>
      <x:c r="C10" s="76" t="str">
        <x:v>NO LONGER PROCEEDING</x:v>
      </x:c>
      <x:c r="D10" s="72"/>
      <x:c r="E10" s="72"/>
      <x:c r="F10" s="72"/>
    </x:row>
    <x:row r="11">
      <x:c r="A11" s="72" t="str">
        <x:v>Revised closing cash</x:v>
      </x:c>
      <x:c r="B11" s="73" t="n">
        <x:v>134367.68</x:v>
      </x:c>
      <x:c r="C11" s="72" t="str">
        <x:v>CASH</x:v>
      </x:c>
      <x:c r="D11" s="72"/>
      <x:c r="E11" s="72"/>
      <x:c r="F11" s="72"/>
    </x:row>
    <x:row r="12">
      <x:c r="A12" s="78" t="str">
        <x:v>Revised cash less loan</x:v>
      </x:c>
      <x:c r="B12" s="79" t="n">
        <x:v>19367.68</x:v>
      </x:c>
      <x:c r="C12" s="78" t="str">
        <x:v>POSITIVE CASH</x:v>
      </x:c>
      <x:c r="D12" s="72"/>
      <x:c r="E12" s="72"/>
      <x:c r="F12" s="72"/>
    </x:row>
    <x:row r="13">
      <x:c r="A13" s="72"/>
      <x:c r="B13" s="72"/>
      <x:c r="C13" s="72"/>
      <x:c r="D13" s="72"/>
      <x:c r="E13" s="72"/>
      <x:c r="F13" s="72"/>
    </x:row>
    <x:row r="14" ht="28" customHeight="1">
      <x:c r="A14" s="13" t="str">
        <x:v>SINKING INCOME / FUNDING</x:v>
      </x:c>
      <x:c r="B14" s="30" t="str">
        <x:v>ANNUAL</x:v>
      </x:c>
      <x:c r="C14" s="14" t="str">
        <x:v>TYPE</x:v>
      </x:c>
      <x:c r="D14" s="13" t="str">
        <x:v>SINKING EXPENDITURE</x:v>
      </x:c>
      <x:c r="E14" s="30" t="str">
        <x:v>ANNUAL</x:v>
      </x:c>
      <x:c r="F14" s="14" t="str">
        <x:v>STATUS</x:v>
      </x:c>
    </x:row>
    <x:row r="15">
      <x:c r="A15" s="72" t="str">
        <x:v>Contributions (gross)</x:v>
      </x:c>
      <x:c r="B15" s="73" t="n">
        <x:v>34588.4</x:v>
      </x:c>
      <x:c r="C15" s="72" t="str">
        <x:v>Owner contributions</x:v>
      </x:c>
      <x:c r="D15" s="76" t="str">
        <x:v>Building Repairs</x:v>
      </x:c>
      <x:c r="E15" s="77" t="n">
        <x:v>80000</x:v>
      </x:c>
      <x:c r="F15" s="76" t="str">
        <x:v>CANCELLED</x:v>
      </x:c>
    </x:row>
    <x:row r="16">
      <x:c r="A16" s="72" t="str">
        <x:v>Less: on-time payment discount</x:v>
      </x:c>
      <x:c r="B16" s="73" t="n">
        <x:v>-6917.68</x:v>
      </x:c>
      <x:c r="C16" s="72" t="str">
        <x:v>Reduction in contributions</x:v>
      </x:c>
      <x:c r="D16" s="72" t="str">
        <x:v>Common property</x:v>
      </x:c>
      <x:c r="E16" s="73" t="n">
        <x:v>25000</x:v>
      </x:c>
      <x:c r="F16" s="72" t="str">
        <x:v>AGM BUDGET</x:v>
      </x:c>
    </x:row>
    <x:row r="17">
      <x:c r="A17" s="72" t="str">
        <x:v>Net contribution income</x:v>
      </x:c>
      <x:c r="B17" s="73" t="n">
        <x:v>27670.72</x:v>
      </x:c>
      <x:c r="C17" s="72" t="str">
        <x:v>Income available for expenses</x:v>
      </x:c>
      <x:c r="D17" s="72" t="str">
        <x:v>Common property - Retaining Wall</x:v>
      </x:c>
      <x:c r="E17" s="73" t="n">
        <x:v>60000</x:v>
      </x:c>
      <x:c r="F17" s="72" t="str">
        <x:v>AGM BUDGET</x:v>
      </x:c>
    </x:row>
    <x:row r="18">
      <x:c r="A18" s="72" t="str">
        <x:v>Special levy</x:v>
      </x:c>
      <x:c r="B18" s="73" t="n">
        <x:v>100000</x:v>
      </x:c>
      <x:c r="C18" s="72" t="str">
        <x:v>Owner funding</x:v>
      </x:c>
      <x:c r="D18" s="72" t="str">
        <x:v>Grounds - Tree lopping</x:v>
      </x:c>
      <x:c r="E18" s="73" t="n">
        <x:v>10000</x:v>
      </x:c>
      <x:c r="F18" s="72" t="str">
        <x:v>AGM BUDGET</x:v>
      </x:c>
    </x:row>
    <x:row r="19">
      <x:c r="A19" s="72" t="str">
        <x:v>Bank loan (AGM label: External funds)</x:v>
      </x:c>
      <x:c r="B19" s="73" t="n">
        <x:v>115000</x:v>
      </x:c>
      <x:c r="C19" s="72" t="str">
        <x:v>Borrowing - creates a liability</x:v>
      </x:c>
      <x:c r="D19" s="76" t="str">
        <x:v>Owner expense</x:v>
      </x:c>
      <x:c r="E19" s="77" t="n">
        <x:v>15000</x:v>
      </x:c>
      <x:c r="F19" s="76" t="str">
        <x:v>CANCELLED — UNIT 9</x:v>
      </x:c>
    </x:row>
    <x:row r="20">
      <x:c r="A20" s="72" t="str">
        <x:v>AGM total inflows including loan</x:v>
      </x:c>
      <x:c r="B20" s="73" t="n">
        <x:v>242670.72</x:v>
      </x:c>
      <x:c r="C20" s="72" t="str">
        <x:v>Cash inflow, not accounting income</x:v>
      </x:c>
      <x:c r="D20" s="72" t="str">
        <x:v>Plumbing</x:v>
      </x:c>
      <x:c r="E20" s="73" t="n">
        <x:v>5000</x:v>
      </x:c>
      <x:c r="F20" s="72" t="str">
        <x:v>AGM BUDGET</x:v>
      </x:c>
    </x:row>
    <x:row r="21">
      <x:c r="A21" s="72"/>
      <x:c r="B21" s="72"/>
      <x:c r="C21" s="72"/>
      <x:c r="D21" s="72" t="str">
        <x:v>Reports - Engineers report</x:v>
      </x:c>
      <x:c r="E21" s="73" t="n">
        <x:v>5000</x:v>
      </x:c>
      <x:c r="F21" s="72" t="str">
        <x:v>AGM BUDGET</x:v>
      </x:c>
    </x:row>
    <x:row r="22">
      <x:c r="A22" s="72"/>
      <x:c r="B22" s="72"/>
      <x:c r="C22" s="72"/>
      <x:c r="D22" s="72" t="str">
        <x:v>Structural reinstatement - Waterproofing</x:v>
      </x:c>
      <x:c r="E22" s="73" t="n">
        <x:v>30000</x:v>
      </x:c>
      <x:c r="F22" s="72" t="str">
        <x:v>AGM BUDGET</x:v>
      </x:c>
    </x:row>
    <x:row r="23">
      <x:c r="A23" s="72"/>
      <x:c r="B23" s="72"/>
      <x:c r="C23" s="72"/>
      <x:c r="D23" s="72"/>
      <x:c r="E23" s="72"/>
      <x:c r="F23" s="72"/>
    </x:row>
    <x:row r="24" ht="28" customHeight="1">
      <x:c r="A24" s="13" t="str">
        <x:v>ADMIN INCOME</x:v>
      </x:c>
      <x:c r="B24" s="30" t="str">
        <x:v>ANNUAL</x:v>
      </x:c>
      <x:c r="C24" s="14" t="str">
        <x:v>TYPE</x:v>
      </x:c>
      <x:c r="D24" s="72"/>
      <x:c r="E24" s="72"/>
      <x:c r="F24" s="72"/>
    </x:row>
    <x:row r="25">
      <x:c r="A25" s="72" t="str">
        <x:v>Contributions (gross)</x:v>
      </x:c>
      <x:c r="B25" s="73" t="n">
        <x:v>40675.91</x:v>
      </x:c>
      <x:c r="C25" s="72" t="str">
        <x:v>Owner contributions</x:v>
      </x:c>
      <x:c r="D25" s="72"/>
      <x:c r="E25" s="72"/>
      <x:c r="F25" s="72"/>
    </x:row>
    <x:row r="26">
      <x:c r="A26" s="72" t="str">
        <x:v>Less: on-time payment discount</x:v>
      </x:c>
      <x:c r="B26" s="73" t="n">
        <x:v>-8135.18</x:v>
      </x:c>
      <x:c r="C26" s="72" t="str">
        <x:v>Reduction in contributions</x:v>
      </x:c>
      <x:c r="D26" s="72"/>
      <x:c r="E26" s="72"/>
      <x:c r="F26" s="72"/>
    </x:row>
    <x:row r="27">
      <x:c r="A27" s="72" t="str">
        <x:v>Net contribution income</x:v>
      </x:c>
      <x:c r="B27" s="73" t="n">
        <x:v>32540.73</x:v>
      </x:c>
      <x:c r="C27" s="72" t="str">
        <x:v>Income available for expenses</x:v>
      </x:c>
      <x:c r="D27" s="72"/>
      <x:c r="E27" s="72"/>
      <x:c r="F27" s="72"/>
    </x:row>
    <x:row r="28">
      <x:c r="A28" s="72"/>
      <x:c r="B28" s="72"/>
      <x:c r="C28" s="72"/>
      <x:c r="D28" s="72"/>
      <x:c r="E28" s="72"/>
      <x:c r="F28" s="72"/>
    </x:row>
    <x:row r="29">
      <x:c r="A29" s="72"/>
      <x:c r="B29" s="72"/>
      <x:c r="C29" s="72"/>
      <x:c r="D29" s="72"/>
      <x:c r="E29" s="72"/>
      <x:c r="F29" s="72"/>
    </x:row>
    <x:row r="30">
      <x:c r="A30" s="72"/>
      <x:c r="B30" s="72"/>
      <x:c r="C30" s="72"/>
      <x:c r="D30" s="72"/>
      <x:c r="E30" s="72"/>
      <x:c r="F30" s="72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47" hidden="0" customWidth="1"/>
  </x:cols>
  <x:sheetData>
    <x:row r="1" ht="34" customHeight="1">
      <x:c r="A1" s="3" t="str">
        <x:v>Spending Timing vs AGM Budget</x:v>
      </x:c>
      <x:c r="B1" s="3" t="str">
        <x:v>Spending Timing vs AGM Budget</x:v>
      </x:c>
      <x:c r="C1" s="3" t="str">
        <x:v>Spending Timing vs AGM Budget</x:v>
      </x:c>
      <x:c r="D1" s="3" t="str">
        <x:v>Spending Timing vs AGM Budget</x:v>
      </x:c>
      <x:c r="E1" s="3" t="str">
        <x:v>Spending Timing vs AGM Budget</x:v>
      </x:c>
      <x:c r="F1" s="3" t="str">
        <x:v>Spending Timing vs AGM Budget</x:v>
      </x:c>
    </x:row>
    <x:row r="2" ht="26" customHeight="1">
      <x:c r="A2" s="6" t="str">
        <x:v>Timing view only. Unspent work is not a surplus; the Unit 9 owner-expense capital works is the only confirmed cancellation.</x:v>
      </x:c>
      <x:c r="B2" s="6" t="str">
        <x:v>Timing view only. Unspent work is not a surplus; the Unit 9 owner-expense capital works is the only confirmed cancellation.</x:v>
      </x:c>
      <x:c r="C2" s="6" t="str">
        <x:v>Timing view only. Unspent work is not a surplus; the Unit 9 owner-expense capital works is the only confirmed cancellation.</x:v>
      </x:c>
      <x:c r="D2" s="6" t="str">
        <x:v>Timing view only. Unspent work is not a surplus; the Unit 9 owner-expense capital works is the only confirmed cancellation.</x:v>
      </x:c>
      <x:c r="E2" s="6" t="str">
        <x:v>Timing view only. Unspent work is not a surplus; the Unit 9 owner-expense capital works is the only confirmed cancellation.</x:v>
      </x:c>
      <x:c r="F2" s="6" t="str">
        <x:v>Timing view only. Unspent work is not a surplus; the Unit 9 owner-expense capital works is the only confirmed cancellation.</x:v>
      </x:c>
    </x:row>
    <x:row r="4" ht="28" customHeight="1">
      <x:c r="A4" s="13" t="str">
        <x:v>FUND</x:v>
      </x:c>
      <x:c r="B4" s="30" t="str">
        <x:v>ACTUAL TO 31 JUL</x:v>
      </x:c>
      <x:c r="C4" s="30" t="str">
        <x:v>AGM BUDGET THROUGH SEP</x:v>
      </x:c>
      <x:c r="D4" s="30" t="str">
        <x:v>UNDER / (OVER)</x:v>
      </x:c>
      <x:c r="E4" s="30" t="str">
        <x:v>% USED</x:v>
      </x:c>
      <x:c r="F4" s="14" t="str">
        <x:v>PLAIN-ENGLISH READING</x:v>
      </x:c>
    </x:row>
    <x:row r="5">
      <x:c r="A5" s="101" t="str">
        <x:v>Administrative</x:v>
      </x:c>
      <x:c r="B5" s="104" t="n">
        <x:v>28483.71</x:v>
      </x:c>
      <x:c r="C5" s="104" t="n">
        <x:v>28795.06</x:v>
      </x:c>
      <x:c r="D5" s="104" t="n">
        <x:f>C5-B5</x:f>
        <x:v>311.3500000000022</x:v>
      </x:c>
      <x:c r="E5" s="107" t="n">
        <x:f>IFERROR(B5/C5,0)</x:f>
        <x:v>0.9891873814466786</x:v>
      </x:c>
      <x:c r="F5" s="101" t="str">
        <x:v>Under by $311; close to the full Q3 plan</x:v>
      </x:c>
    </x:row>
    <x:row r="6">
      <x:c r="A6" s="102" t="str">
        <x:v>Sinking</x:v>
      </x:c>
      <x:c r="B6" s="105" t="n">
        <x:v>16321.02</x:v>
      </x:c>
      <x:c r="C6" s="105" t="n">
        <x:v>225000</x:v>
      </x:c>
      <x:c r="D6" s="105" t="n">
        <x:f>C6-B6</x:f>
        <x:v>208678.98</x:v>
      </x:c>
      <x:c r="E6" s="108" t="n">
        <x:f>IFERROR(B6/C6,0)</x:f>
        <x:v>0.07253786666666667</x:v>
      </x:c>
      <x:c r="F6" s="102" t="str">
        <x:v>Under because major capital works are largely unspent</x:v>
      </x:c>
    </x:row>
    <x:row r="7">
      <x:c r="A7" s="113" t="str">
        <x:v>Combined</x:v>
      </x:c>
      <x:c r="B7" s="114" t="n">
        <x:v>44804.73</x:v>
      </x:c>
      <x:c r="C7" s="114" t="n">
        <x:v>253795.06</x:v>
      </x:c>
      <x:c r="D7" s="114" t="n">
        <x:f>C7-B7</x:f>
        <x:v>208990.33</x:v>
      </x:c>
      <x:c r="E7" s="115" t="n">
        <x:f>IFERROR(B7/C7,0)</x:f>
        <x:v>0.17653901537721028</x:v>
      </x:c>
      <x:c r="F7" s="113" t="str">
        <x:v>Under overall; timing-sensitive at 31 July</x:v>
      </x:c>
    </x:row>
    <x:row r="10" ht="28" customHeight="1">
      <x:c r="A10" s="13" t="str">
        <x:v>NOT SPECIFICALLY BUDGETED</x:v>
      </x:c>
      <x:c r="B10" s="30" t="str">
        <x:v>FUND</x:v>
      </x:c>
      <x:c r="C10" s="30" t="str">
        <x:v>ACTUAL</x:v>
      </x:c>
      <x:c r="D10" s="14" t="str">
        <x:v>WHAT THIS MEANS</x:v>
      </x:c>
    </x:row>
    <x:row r="11">
      <x:c r="A11" s="41" t="str">
        <x:v>Auditor fee</x:v>
      </x:c>
      <x:c r="B11" s="41" t="str">
        <x:v>Administrative</x:v>
      </x:c>
      <x:c r="C11" s="116" t="n">
        <x:v>617.7</x:v>
      </x:c>
      <x:c r="D11" s="41" t="str">
        <x:v>No named AGM budget amount</x:v>
      </x:c>
    </x:row>
    <x:row r="12">
      <x:c r="A12" s="42" t="str">
        <x:v>Carpet cleaning</x:v>
      </x:c>
      <x:c r="B12" s="42" t="str">
        <x:v>Administrative</x:v>
      </x:c>
      <x:c r="C12" s="117" t="n">
        <x:v>275</x:v>
      </x:c>
      <x:c r="D12" s="42" t="str">
        <x:v>No named AGM budget amount</x:v>
      </x:c>
    </x:row>
    <x:row r="13">
      <x:c r="A13" s="42" t="str">
        <x:v>Backflow registration</x:v>
      </x:c>
      <x:c r="B13" s="42" t="str">
        <x:v>Administrative</x:v>
      </x:c>
      <x:c r="C13" s="117" t="n">
        <x:v>79</x:v>
      </x:c>
      <x:c r="D13" s="42" t="str">
        <x:v>No named AGM budget amount</x:v>
      </x:c>
    </x:row>
    <x:row r="14">
      <x:c r="A14" s="42" t="str">
        <x:v>Building inspection report</x:v>
      </x:c>
      <x:c r="B14" s="42" t="str">
        <x:v>Administrative</x:v>
      </x:c>
      <x:c r="C14" s="117" t="n">
        <x:v>687.5</x:v>
      </x:c>
      <x:c r="D14" s="42" t="str">
        <x:v>No named AGM budget amount</x:v>
      </x:c>
    </x:row>
    <x:row r="15">
      <x:c r="A15" s="42" t="str">
        <x:v>Taxation accountant fee</x:v>
      </x:c>
      <x:c r="B15" s="42" t="str">
        <x:v>Administrative</x:v>
      </x:c>
      <x:c r="C15" s="117" t="n">
        <x:v>176</x:v>
      </x:c>
      <x:c r="D15" s="42" t="str">
        <x:v>No named AGM budget amount</x:v>
      </x:c>
    </x:row>
    <x:row r="16">
      <x:c r="A16" s="42" t="str">
        <x:v>Fire systems</x:v>
      </x:c>
      <x:c r="B16" s="42" t="str">
        <x:v>Sinking</x:v>
      </x:c>
      <x:c r="C16" s="117" t="n">
        <x:v>88.92</x:v>
      </x:c>
      <x:c r="D16" s="42" t="str">
        <x:v>No named AGM budget amount</x:v>
      </x:c>
    </x:row>
    <x:row r="17">
      <x:c r="A17" s="42" t="str">
        <x:v>Garage</x:v>
      </x:c>
      <x:c r="B17" s="42" t="str">
        <x:v>Sinking</x:v>
      </x:c>
      <x:c r="C17" s="117" t="n">
        <x:v>1248.5</x:v>
      </x:c>
      <x:c r="D17" s="42" t="str">
        <x:v>May fall under broader building repairs; confirm approval</x:v>
      </x:c>
    </x:row>
    <x:row r="18">
      <x:c r="A18" s="43" t="str">
        <x:v>Consultancy fee</x:v>
      </x:c>
      <x:c r="B18" s="43" t="str">
        <x:v>Sinking</x:v>
      </x:c>
      <x:c r="C18" s="118" t="n">
        <x:v>4048</x:v>
      </x:c>
      <x:c r="D18" s="43" t="str">
        <x:v>May fall under reports/engineering; confirm approval</x:v>
      </x:c>
    </x:row>
    <x:row r="19">
      <x:c r="A19" s="120" t="str">
        <x:v>Total requiring confirmation</x:v>
      </x:c>
      <x:c r="B19" s="120"/>
      <x:c r="C19" s="121" t="n">
        <x:f>SUM(C11:C18)</x:f>
        <x:v>7220.62</x:v>
      </x:c>
      <x:c r="D19" s="120"/>
    </x:row>
    <x:row r="22" ht="28" customHeight="1">
      <x:c r="A22" s="13" t="str">
        <x:v>BUDGETED LINE OVER PLAN TO DATE</x:v>
      </x:c>
      <x:c r="B22" s="30" t="str">
        <x:v>FUND</x:v>
      </x:c>
      <x:c r="C22" s="30" t="str">
        <x:v>ACTUAL</x:v>
      </x:c>
      <x:c r="D22" s="30" t="str">
        <x:v>BUDGET</x:v>
      </x:c>
      <x:c r="E22" s="30" t="str">
        <x:v>OVER</x:v>
      </x:c>
      <x:c r="F22" s="14" t="str">
        <x:v>COMMENT</x:v>
      </x:c>
    </x:row>
    <x:row r="23">
      <x:c r="A23" s="41" t="str">
        <x:v>Insurance renewal</x:v>
      </x:c>
      <x:c r="B23" s="41" t="str">
        <x:v>Administrative</x:v>
      </x:c>
      <x:c r="C23" s="116" t="n">
        <x:v>12835</x:v>
      </x:c>
      <x:c r="D23" s="116" t="n">
        <x:v>11215.71</x:v>
      </x:c>
      <x:c r="E23" s="116" t="n">
        <x:v>1619.29</x:v>
      </x:c>
      <x:c r="F23" s="41" t="str">
        <x:v>Front-loaded annual cost; still within the $14,954.28 annual line</x:v>
      </x:c>
    </x:row>
    <x:row r="24">
      <x:c r="A24" s="42" t="str">
        <x:v>Cleaning</x:v>
      </x:c>
      <x:c r="B24" s="42" t="str">
        <x:v>Administrative</x:v>
      </x:c>
      <x:c r="C24" s="117" t="n">
        <x:v>3417.7</x:v>
      </x:c>
      <x:c r="D24" s="117" t="n">
        <x:v>1950</x:v>
      </x:c>
      <x:c r="E24" s="117" t="n">
        <x:v>1467.7</x:v>
      </x:c>
      <x:c r="F24" s="42" t="str">
        <x:v>Over the cumulative Q3 line</x:v>
      </x:c>
    </x:row>
    <x:row r="25">
      <x:c r="A25" s="42" t="str">
        <x:v>Pest control</x:v>
      </x:c>
      <x:c r="B25" s="42" t="str">
        <x:v>Administrative</x:v>
      </x:c>
      <x:c r="C25" s="117" t="n">
        <x:v>1490</x:v>
      </x:c>
      <x:c r="D25" s="117" t="n">
        <x:v>262.5</x:v>
      </x:c>
      <x:c r="E25" s="117" t="n">
        <x:v>1227.5</x:v>
      </x:c>
      <x:c r="F25" s="42" t="str">
        <x:v>Also $1,140 over the annual line</x:v>
      </x:c>
    </x:row>
    <x:row r="26">
      <x:c r="A26" s="42" t="str">
        <x:v>Reports</x:v>
      </x:c>
      <x:c r="B26" s="42" t="str">
        <x:v>Administrative</x:v>
      </x:c>
      <x:c r="C26" s="117" t="n">
        <x:v>687.5</x:v>
      </x:c>
      <x:c r="D26" s="117" t="n">
        <x:v>276.75</x:v>
      </x:c>
      <x:c r="E26" s="117" t="n">
        <x:v>410.75</x:v>
      </x:c>
      <x:c r="F26" s="42" t="str">
        <x:v>Over the cumulative Q3 line</x:v>
      </x:c>
    </x:row>
    <x:row r="27">
      <x:c r="A27" s="42" t="str">
        <x:v>Fire systems</x:v>
      </x:c>
      <x:c r="B27" s="42" t="str">
        <x:v>Administrative</x:v>
      </x:c>
      <x:c r="C27" s="117" t="n">
        <x:v>1259.52</x:v>
      </x:c>
      <x:c r="D27" s="117" t="n">
        <x:v>1125</x:v>
      </x:c>
      <x:c r="E27" s="117" t="n">
        <x:v>134.52</x:v>
      </x:c>
      <x:c r="F27" s="42" t="str">
        <x:v>Slightly over the cumulative Q3 line</x:v>
      </x:c>
    </x:row>
    <x:row r="28">
      <x:c r="A28" s="43" t="str">
        <x:v>Engineers / project reports</x:v>
      </x:c>
      <x:c r="B28" s="43" t="str">
        <x:v>Sinking</x:v>
      </x:c>
      <x:c r="C28" s="118" t="n">
        <x:v>6270</x:v>
      </x:c>
      <x:c r="D28" s="118" t="n">
        <x:v>3750</x:v>
      </x:c>
      <x:c r="E28" s="118" t="n">
        <x:v>2520</x:v>
      </x:c>
      <x:c r="F28" s="43" t="str">
        <x:v>Over the cumulative Q3 line</x:v>
      </x:c>
    </x:row>
    <x:row r="31" ht="28" customHeight="1">
      <x:c r="A31" s="13" t="str">
        <x:v>LARGEST UNSPENT AGM LINES</x:v>
      </x:c>
      <x:c r="B31" s="30" t="str">
        <x:v>FUND</x:v>
      </x:c>
      <x:c r="C31" s="30" t="str">
        <x:v>ACTUAL</x:v>
      </x:c>
      <x:c r="D31" s="30" t="str">
        <x:v>BUDGET</x:v>
      </x:c>
      <x:c r="E31" s="14" t="str">
        <x:v>UNDER</x:v>
      </x:c>
    </x:row>
    <x:row r="32">
      <x:c r="A32" s="35" t="str">
        <x:v>Building repairs</x:v>
      </x:c>
      <x:c r="B32" s="35" t="str">
        <x:v>Sinking</x:v>
      </x:c>
      <x:c r="C32" s="122" t="n">
        <x:v>0</x:v>
      </x:c>
      <x:c r="D32" s="122" t="n">
        <x:v>80000</x:v>
      </x:c>
      <x:c r="E32" s="122" t="n">
        <x:v>80000</x:v>
      </x:c>
    </x:row>
    <x:row r="33">
      <x:c r="A33" s="36" t="str">
        <x:v>Retaining wall</x:v>
      </x:c>
      <x:c r="B33" s="36" t="str">
        <x:v>Sinking</x:v>
      </x:c>
      <x:c r="C33" s="123" t="n">
        <x:v>0</x:v>
      </x:c>
      <x:c r="D33" s="123" t="n">
        <x:v>60000</x:v>
      </x:c>
      <x:c r="E33" s="123" t="n">
        <x:v>60000</x:v>
      </x:c>
    </x:row>
    <x:row r="34">
      <x:c r="A34" s="36" t="str">
        <x:v>Waterproofing</x:v>
      </x:c>
      <x:c r="B34" s="36" t="str">
        <x:v>Sinking</x:v>
      </x:c>
      <x:c r="C34" s="123" t="n">
        <x:v>0</x:v>
      </x:c>
      <x:c r="D34" s="123" t="n">
        <x:v>30000</x:v>
      </x:c>
      <x:c r="E34" s="123" t="n">
        <x:v>30000</x:v>
      </x:c>
    </x:row>
    <x:row r="35">
      <x:c r="A35" s="36" t="str">
        <x:v>Common property</x:v>
      </x:c>
      <x:c r="B35" s="36" t="str">
        <x:v>Sinking</x:v>
      </x:c>
      <x:c r="C35" s="123" t="n">
        <x:v>2691.1</x:v>
      </x:c>
      <x:c r="D35" s="123" t="n">
        <x:v>25000</x:v>
      </x:c>
      <x:c r="E35" s="123" t="n">
        <x:v>22308.9</x:v>
      </x:c>
    </x:row>
    <x:row r="36">
      <x:c r="A36" s="36" t="str">
        <x:v>Owner expense</x:v>
      </x:c>
      <x:c r="B36" s="36" t="str">
        <x:v>Sinking</x:v>
      </x:c>
      <x:c r="C36" s="123" t="n">
        <x:v>0</x:v>
      </x:c>
      <x:c r="D36" s="123" t="n">
        <x:v>15000</x:v>
      </x:c>
      <x:c r="E36" s="123" t="n">
        <x:v>15000</x:v>
      </x:c>
    </x:row>
    <x:row r="37">
      <x:c r="A37" s="37" t="str">
        <x:v>Tree lopping</x:v>
      </x:c>
      <x:c r="B37" s="37" t="str">
        <x:v>Sinking</x:v>
      </x:c>
      <x:c r="C37" s="124" t="n">
        <x:v>0</x:v>
      </x:c>
      <x:c r="D37" s="124" t="n">
        <x:v>7500</x:v>
      </x:c>
      <x:c r="E37" s="124" t="n">
        <x:v>7500</x:v>
      </x:c>
    </x:row>
    <x:row r="40" ht="36" customHeight="1">
      <x:c r="A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  <x:c r="B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  <x:c r="C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  <x:c r="D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  <x:c r="E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  <x:c r="F40" s="125" t="str">
        <x:v>Important: A zero budget means the Whittles report has no named AGM budget amount for that exact ledger code. It does not by itself mean the expense was unauthorised; a broader budget line or separate committee resolution may apply. Comparison is timing-sensitive because actuals stop 31 July and the AGM plan runs through 30 September.</x:v>
      </x:c>
    </x:row>
  </x:sheetData>
  <x:mergeCells>
    <x:mergeCell ref="A1:F1"/>
    <x:mergeCell ref="A2:F2"/>
    <x:mergeCell ref="A40:F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7" hidden="0" customWidth="1"/>
    <x:col min="4" max="4" width="17" hidden="0" customWidth="1"/>
    <x:col min="5" max="5" width="16" hidden="0" customWidth="1"/>
    <x:col min="6" max="6" width="34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38" hidden="0" customWidth="1"/>
  </x:cols>
  <x:sheetData>
    <x:row r="1" ht="34" customHeight="1">
      <x:c r="A1" s="3" t="str">
        <x:v>Cash Ledger</x:v>
      </x:c>
      <x:c r="B1" s="3" t="str">
        <x:v>Cash Ledger</x:v>
      </x:c>
      <x:c r="C1" s="3" t="str">
        <x:v>Cash Ledger</x:v>
      </x:c>
      <x:c r="D1" s="3" t="str">
        <x:v>Cash Ledger</x:v>
      </x:c>
      <x:c r="E1" s="3" t="str">
        <x:v>Cash Ledger</x:v>
      </x:c>
      <x:c r="F1" s="3" t="str">
        <x:v>Cash Ledger</x:v>
      </x:c>
      <x:c r="G1" s="3" t="str">
        <x:v>Cash Ledger</x:v>
      </x:c>
      <x:c r="H1" s="3" t="str">
        <x:v>Cash Ledger</x:v>
      </x:c>
      <x:c r="I1" s="3" t="str">
        <x:v>Cash Ledger</x:v>
      </x:c>
      <x:c r="J1" s="3" t="str">
        <x:v>Cash Ledger</x:v>
      </x:c>
      <x:c r="K1" s="3" t="str">
        <x:v>Cash Ledger</x:v>
      </x:c>
    </x:row>
    <x:row r="2" ht="26" customHeight="1">
      <x:c r="A2" s="6" t="str">
        <x:v>All movements parsed from Macquarie statements, Jan-Jul 2026. Deposits are left Unallocated because the bank line does not identify the fund split.</x:v>
      </x:c>
      <x:c r="B2" s="6" t="str">
        <x:v>All movements parsed from Macquarie statements, Jan-Jul 2026. Deposits are left Unallocated because the bank line does not identify the fund split.</x:v>
      </x:c>
      <x:c r="C2" s="6" t="str">
        <x:v>All movements parsed from Macquarie statements, Jan-Jul 2026. Deposits are left Unallocated because the bank line does not identify the fund split.</x:v>
      </x:c>
      <x:c r="D2" s="6" t="str">
        <x:v>All movements parsed from Macquarie statements, Jan-Jul 2026. Deposits are left Unallocated because the bank line does not identify the fund split.</x:v>
      </x:c>
      <x:c r="E2" s="6" t="str">
        <x:v>All movements parsed from Macquarie statements, Jan-Jul 2026. Deposits are left Unallocated because the bank line does not identify the fund split.</x:v>
      </x:c>
      <x:c r="F2" s="6" t="str">
        <x:v>All movements parsed from Macquarie statements, Jan-Jul 2026. Deposits are left Unallocated because the bank line does not identify the fund split.</x:v>
      </x:c>
      <x:c r="G2" s="6" t="str">
        <x:v>All movements parsed from Macquarie statements, Jan-Jul 2026. Deposits are left Unallocated because the bank line does not identify the fund split.</x:v>
      </x:c>
      <x:c r="H2" s="6" t="str">
        <x:v>All movements parsed from Macquarie statements, Jan-Jul 2026. Deposits are left Unallocated because the bank line does not identify the fund split.</x:v>
      </x:c>
      <x:c r="I2" s="6" t="str">
        <x:v>All movements parsed from Macquarie statements, Jan-Jul 2026. Deposits are left Unallocated because the bank line does not identify the fund split.</x:v>
      </x:c>
      <x:c r="J2" s="6" t="str">
        <x:v>All movements parsed from Macquarie statements, Jan-Jul 2026. Deposits are left Unallocated because the bank line does not identify the fund split.</x:v>
      </x:c>
      <x:c r="K2" s="6" t="str">
        <x:v>All movements parsed from Macquarie statements, Jan-Jul 2026. Deposits are left Unallocated because the bank line does not identify the fund split.</x:v>
      </x:c>
    </x:row>
    <x:row r="4" ht="28" customHeight="1">
      <x:c r="A4" s="13" t="str">
        <x:v>Date</x:v>
      </x:c>
      <x:c r="B4" s="30" t="str">
        <x:v>Description</x:v>
      </x:c>
      <x:c r="C4" s="30" t="str">
        <x:v>Type</x:v>
      </x:c>
      <x:c r="D4" s="30" t="str">
        <x:v>Direction</x:v>
      </x:c>
      <x:c r="E4" s="30" t="str">
        <x:v>Fund</x:v>
      </x:c>
      <x:c r="F4" s="30" t="str">
        <x:v>Category</x:v>
      </x:c>
      <x:c r="G4" s="30" t="str">
        <x:v>Debit</x:v>
      </x:c>
      <x:c r="H4" s="30" t="str">
        <x:v>Credit</x:v>
      </x:c>
      <x:c r="I4" s="30" t="str">
        <x:v>Bank Balance</x:v>
      </x:c>
      <x:c r="J4" s="30" t="str">
        <x:v>Confidence</x:v>
      </x:c>
      <x:c r="K4" s="14" t="str">
        <x:v>Source PDF</x:v>
      </x:c>
    </x:row>
    <x:row r="5">
      <x:c r="A5" s="87" t="n">
        <x:v>46024</x:v>
      </x:c>
      <x:c r="B5" s="84" t="str">
        <x:v>Electronic Debit - *CRS-088321 Whittles</x:v>
      </x:c>
      <x:c r="C5" s="84" t="str">
        <x:v>Management payment</x:v>
      </x:c>
      <x:c r="D5" s="84" t="str">
        <x:v>Debit</x:v>
      </x:c>
      <x:c r="E5" s="84" t="str">
        <x:v>Administrative</x:v>
      </x:c>
      <x:c r="F5" s="84" t="str">
        <x:v>Body corporate management</x:v>
      </x:c>
      <x:c r="G5" s="90" t="n">
        <x:v>266.56</x:v>
      </x:c>
      <x:c r="H5" s="90" t="n">
        <x:v>0</x:v>
      </x:c>
      <x:c r="I5" s="90" t="n">
        <x:v>53305.75</x:v>
      </x:c>
      <x:c r="J5" s="84" t="str">
        <x:v>High</x:v>
      </x:c>
      <x:c r="K5" s="84" t="str">
        <x:v>c83d0fed-c355-4bb4-abb5-2a19a34c88ac.pdf</x:v>
      </x:c>
    </x:row>
    <x:row r="6">
      <x:c r="A6" s="88" t="n">
        <x:v>46029</x:v>
      </x:c>
      <x:c r="B6" s="85" t="str">
        <x:v>Electronic Debit - *CRS-BASP24 BAS Pty Ltd</x:v>
      </x:c>
      <x:c r="C6" s="85" t="str">
        <x:v>Supplier payment</x:v>
      </x:c>
      <x:c r="D6" s="85" t="str">
        <x:v>Debit</x:v>
      </x:c>
      <x:c r="E6" s="85" t="str">
        <x:v>Administrative</x:v>
      </x:c>
      <x:c r="F6" s="85" t="str">
        <x:v>Fire systems</x:v>
      </x:c>
      <x:c r="G6" s="91" t="n">
        <x:v>3250</x:v>
      </x:c>
      <x:c r="H6" s="91" t="n">
        <x:v>0</x:v>
      </x:c>
      <x:c r="I6" s="91" t="n">
        <x:v>49113.25</x:v>
      </x:c>
      <x:c r="J6" s="85" t="str">
        <x:v>High</x:v>
      </x:c>
      <x:c r="K6" s="85" t="str">
        <x:v>c83d0fed-c355-4bb4-abb5-2a19a34c88ac.pdf</x:v>
      </x:c>
    </x:row>
    <x:row r="7">
      <x:c r="A7" s="88" t="n">
        <x:v>46029</x:v>
      </x:c>
      <x:c r="B7" s="85" t="str">
        <x:v>Electronic Debit - *CRS-DPXP52 DPX Projects Pty</x:v>
      </x:c>
      <x:c r="C7" s="85" t="str">
        <x:v>Supplier payment</x:v>
      </x:c>
      <x:c r="D7" s="85" t="str">
        <x:v>Debit</x:v>
      </x:c>
      <x:c r="E7" s="85" t="str">
        <x:v>Administrative</x:v>
      </x:c>
      <x:c r="F7" s="85" t="str">
        <x:v>Reports - building inspection</x:v>
      </x:c>
      <x:c r="G7" s="91" t="n">
        <x:v>687.5</x:v>
      </x:c>
      <x:c r="H7" s="91" t="n">
        <x:v>0</x:v>
      </x:c>
      <x:c r="I7" s="91" t="n">
        <x:v>52363.25</x:v>
      </x:c>
      <x:c r="J7" s="85" t="str">
        <x:v>High</x:v>
      </x:c>
      <x:c r="K7" s="85" t="str">
        <x:v>c83d0fed-c355-4bb4-abb5-2a19a34c88ac.pdf</x:v>
      </x:c>
    </x:row>
    <x:row r="8">
      <x:c r="A8" s="88" t="n">
        <x:v>46029</x:v>
      </x:c>
      <x:c r="B8" s="85" t="str">
        <x:v>Electronic Debit - *CRS-OXLE48 Oxley Gardening</x:v>
      </x:c>
      <x:c r="C8" s="85" t="str">
        <x:v>Supplier payment</x:v>
      </x:c>
      <x:c r="D8" s="85" t="str">
        <x:v>Debit</x:v>
      </x:c>
      <x:c r="E8" s="85" t="str">
        <x:v>Administrative</x:v>
      </x:c>
      <x:c r="F8" s="85" t="str">
        <x:v>Grounds</x:v>
      </x:c>
      <x:c r="G8" s="91" t="n">
        <x:v>255</x:v>
      </x:c>
      <x:c r="H8" s="91" t="n">
        <x:v>0</x:v>
      </x:c>
      <x:c r="I8" s="91" t="n">
        <x:v>53050.75</x:v>
      </x:c>
      <x:c r="J8" s="85" t="str">
        <x:v>High</x:v>
      </x:c>
      <x:c r="K8" s="85" t="str">
        <x:v>c83d0fed-c355-4bb4-abb5-2a19a34c88ac.pdf</x:v>
      </x:c>
    </x:row>
    <x:row r="9">
      <x:c r="A9" s="88" t="n">
        <x:v>46030</x:v>
      </x:c>
      <x:c r="B9" s="85" t="str">
        <x:v>DEFT I/CCd - AX 0000000009</x:v>
      </x:c>
      <x:c r="C9" s="85" t="str">
        <x:v>Deposit</x:v>
      </x:c>
      <x:c r="D9" s="85" t="str">
        <x:v>Credit</x:v>
      </x:c>
      <x:c r="E9" s="85" t="str">
        <x:v>Unallocated</x:v>
      </x:c>
      <x:c r="F9" s="85" t="str">
        <x:v>Levy receipts / owner funds</x:v>
      </x:c>
      <x:c r="G9" s="91" t="n">
        <x:v>0</x:v>
      </x:c>
      <x:c r="H9" s="91" t="n">
        <x:v>1155</x:v>
      </x:c>
      <x:c r="I9" s="91" t="n">
        <x:v>50268.25</x:v>
      </x:c>
      <x:c r="J9" s="85" t="str">
        <x:v>Needs review</x:v>
      </x:c>
      <x:c r="K9" s="85" t="str">
        <x:v>c83d0fed-c355-4bb4-abb5-2a19a34c88ac.pdf</x:v>
      </x:c>
    </x:row>
    <x:row r="10">
      <x:c r="A10" s="88" t="n">
        <x:v>46030</x:v>
      </x:c>
      <x:c r="B10" s="85" t="str">
        <x:v>DEFT I/CCd - AX 0000000009</x:v>
      </x:c>
      <x:c r="C10" s="85" t="str">
        <x:v>Deposit</x:v>
      </x:c>
      <x:c r="D10" s="85" t="str">
        <x:v>Credit</x:v>
      </x:c>
      <x:c r="E10" s="85" t="str">
        <x:v>Unallocated</x:v>
      </x:c>
      <x:c r="F10" s="85" t="str">
        <x:v>Levy receipts / owner funds</x:v>
      </x:c>
      <x:c r="G10" s="91" t="n">
        <x:v>0</x:v>
      </x:c>
      <x:c r="H10" s="91" t="n">
        <x:v>9100</x:v>
      </x:c>
      <x:c r="I10" s="91" t="n">
        <x:v>59368.25</x:v>
      </x:c>
      <x:c r="J10" s="85" t="str">
        <x:v>Needs review</x:v>
      </x:c>
      <x:c r="K10" s="85" t="str">
        <x:v>c83d0fed-c355-4bb4-abb5-2a19a34c88ac.pdf</x:v>
      </x:c>
    </x:row>
    <x:row r="11">
      <x:c r="A11" s="88" t="n">
        <x:v>46035</x:v>
      </x:c>
      <x:c r="B11" s="85" t="str">
        <x:v>Electronic Debit - *CRS-088710 Whittles</x:v>
      </x:c>
      <x:c r="C11" s="85" t="str">
        <x:v>Management payment</x:v>
      </x:c>
      <x:c r="D11" s="85" t="str">
        <x:v>Debit</x:v>
      </x:c>
      <x:c r="E11" s="85" t="str">
        <x:v>Administrative</x:v>
      </x:c>
      <x:c r="F11" s="85" t="str">
        <x:v>Body corporate management</x:v>
      </x:c>
      <x:c r="G11" s="91" t="n">
        <x:v>55</x:v>
      </x:c>
      <x:c r="H11" s="91" t="n">
        <x:v>0</x:v>
      </x:c>
      <x:c r="I11" s="91" t="n">
        <x:v>59313.25</x:v>
      </x:c>
      <x:c r="J11" s="85" t="str">
        <x:v>High</x:v>
      </x:c>
      <x:c r="K11" s="85" t="str">
        <x:v>c83d0fed-c355-4bb4-abb5-2a19a34c88ac.pdf</x:v>
      </x:c>
    </x:row>
    <x:row r="12">
      <x:c r="A12" s="88" t="n">
        <x:v>46037</x:v>
      </x:c>
      <x:c r="B12" s="85" t="str">
        <x:v>Deposit - ANDEMESKEL KIROS K Funds transfer</x:v>
      </x:c>
      <x:c r="C12" s="85" t="str">
        <x:v>Deposit</x:v>
      </x:c>
      <x:c r="D12" s="85" t="str">
        <x:v>Credit</x:v>
      </x:c>
      <x:c r="E12" s="85" t="str">
        <x:v>Unallocated</x:v>
      </x:c>
      <x:c r="F12" s="85" t="str">
        <x:v>Levy receipts / owner funds</x:v>
      </x:c>
      <x:c r="G12" s="91" t="n">
        <x:v>0</x:v>
      </x:c>
      <x:c r="H12" s="91" t="n">
        <x:v>510</x:v>
      </x:c>
      <x:c r="I12" s="91" t="n">
        <x:v>59823.25</x:v>
      </x:c>
      <x:c r="J12" s="85" t="str">
        <x:v>Needs review</x:v>
      </x:c>
      <x:c r="K12" s="85" t="str">
        <x:v>c83d0fed-c355-4bb4-abb5-2a19a34c88ac.pdf</x:v>
      </x:c>
    </x:row>
    <x:row r="13">
      <x:c r="A13" s="88" t="n">
        <x:v>46038</x:v>
      </x:c>
      <x:c r="B13" s="85" t="str">
        <x:v>DEFT Bpay - 0000000006</x:v>
      </x:c>
      <x:c r="C13" s="85" t="str">
        <x:v>Deposit</x:v>
      </x:c>
      <x:c r="D13" s="85" t="str">
        <x:v>Credit</x:v>
      </x:c>
      <x:c r="E13" s="85" t="str">
        <x:v>Unallocated</x:v>
      </x:c>
      <x:c r="F13" s="85" t="str">
        <x:v>Levy receipts / owner funds</x:v>
      </x:c>
      <x:c r="G13" s="91" t="n">
        <x:v>0</x:v>
      </x:c>
      <x:c r="H13" s="91" t="n">
        <x:v>1153.77</x:v>
      </x:c>
      <x:c r="I13" s="91" t="n">
        <x:v>60977.02</x:v>
      </x:c>
      <x:c r="J13" s="85" t="str">
        <x:v>Needs review</x:v>
      </x:c>
      <x:c r="K13" s="85" t="str">
        <x:v>c83d0fed-c355-4bb4-abb5-2a19a34c88ac.pdf</x:v>
      </x:c>
    </x:row>
    <x:row r="14">
      <x:c r="A14" s="88" t="n">
        <x:v>46041</x:v>
      </x:c>
      <x:c r="B14" s="85" t="str">
        <x:v>DEFT Bpay - 0000000001</x:v>
      </x:c>
      <x:c r="C14" s="85" t="str">
        <x:v>Deposit</x:v>
      </x:c>
      <x:c r="D14" s="85" t="str">
        <x:v>Credit</x:v>
      </x:c>
      <x:c r="E14" s="85" t="str">
        <x:v>Unallocated</x:v>
      </x:c>
      <x:c r="F14" s="85" t="str">
        <x:v>Levy receipts / owner funds</x:v>
      </x:c>
      <x:c r="G14" s="91" t="n">
        <x:v>0</x:v>
      </x:c>
      <x:c r="H14" s="91" t="n">
        <x:v>1153.77</x:v>
      </x:c>
      <x:c r="I14" s="91" t="n">
        <x:v>62130.79</x:v>
      </x:c>
      <x:c r="J14" s="85" t="str">
        <x:v>Needs review</x:v>
      </x:c>
      <x:c r="K14" s="85" t="str">
        <x:v>c83d0fed-c355-4bb4-abb5-2a19a34c88ac.pdf</x:v>
      </x:c>
    </x:row>
    <x:row r="15">
      <x:c r="A15" s="88" t="n">
        <x:v>46043</x:v>
      </x:c>
      <x:c r="B15" s="85" t="str">
        <x:v>Electronic Debit - Invoice# 10701 *EFT-Abstract So</x:v>
      </x:c>
      <x:c r="C15" s="85" t="str">
        <x:v>Supplier payment</x:v>
      </x:c>
      <x:c r="D15" s="85" t="str">
        <x:v>Debit</x:v>
      </x:c>
      <x:c r="E15" s="85" t="str">
        <x:v>Administrative</x:v>
      </x:c>
      <x:c r="F15" s="85" t="str">
        <x:v>Cleaning - carpet cleaning</x:v>
      </x:c>
      <x:c r="G15" s="91" t="n">
        <x:v>880</x:v>
      </x:c>
      <x:c r="H15" s="91" t="n">
        <x:v>0</x:v>
      </x:c>
      <x:c r="I15" s="91" t="n">
        <x:v>60651.87</x:v>
      </x:c>
      <x:c r="J15" s="85" t="str">
        <x:v>High</x:v>
      </x:c>
      <x:c r="K15" s="85" t="str">
        <x:v>c83d0fed-c355-4bb4-abb5-2a19a34c88ac.pdf</x:v>
      </x:c>
    </x:row>
    <x:row r="16">
      <x:c r="A16" s="88" t="n">
        <x:v>46043</x:v>
      </x:c>
      <x:c r="B16" s="85" t="str">
        <x:v>Electronic Debit - *CRS-OXLE48 Oxley Gardening</x:v>
      </x:c>
      <x:c r="C16" s="85" t="str">
        <x:v>Supplier payment</x:v>
      </x:c>
      <x:c r="D16" s="85" t="str">
        <x:v>Debit</x:v>
      </x:c>
      <x:c r="E16" s="85" t="str">
        <x:v>Administrative</x:v>
      </x:c>
      <x:c r="F16" s="85" t="str">
        <x:v>Grounds</x:v>
      </x:c>
      <x:c r="G16" s="91" t="n">
        <x:v>255</x:v>
      </x:c>
      <x:c r="H16" s="91" t="n">
        <x:v>0</x:v>
      </x:c>
      <x:c r="I16" s="91" t="n">
        <x:v>61531.87</x:v>
      </x:c>
      <x:c r="J16" s="85" t="str">
        <x:v>High</x:v>
      </x:c>
      <x:c r="K16" s="85" t="str">
        <x:v>c83d0fed-c355-4bb4-abb5-2a19a34c88ac.pdf</x:v>
      </x:c>
    </x:row>
    <x:row r="17">
      <x:c r="A17" s="88" t="n">
        <x:v>46043</x:v>
      </x:c>
      <x:c r="B17" s="85" t="str">
        <x:v>Electronic Debit - *CRS-OXLE48 Oxley Gardening</x:v>
      </x:c>
      <x:c r="C17" s="85" t="str">
        <x:v>Supplier payment</x:v>
      </x:c>
      <x:c r="D17" s="85" t="str">
        <x:v>Debit</x:v>
      </x:c>
      <x:c r="E17" s="85" t="str">
        <x:v>Administrative</x:v>
      </x:c>
      <x:c r="F17" s="85" t="str">
        <x:v>Grounds</x:v>
      </x:c>
      <x:c r="G17" s="91" t="n">
        <x:v>255</x:v>
      </x:c>
      <x:c r="H17" s="91" t="n">
        <x:v>0</x:v>
      </x:c>
      <x:c r="I17" s="91" t="n">
        <x:v>61786.87</x:v>
      </x:c>
      <x:c r="J17" s="85" t="str">
        <x:v>High</x:v>
      </x:c>
      <x:c r="K17" s="85" t="str">
        <x:v>c83d0fed-c355-4bb4-abb5-2a19a34c88ac.pdf</x:v>
      </x:c>
    </x:row>
    <x:row r="18">
      <x:c r="A18" s="88" t="n">
        <x:v>46043</x:v>
      </x:c>
      <x:c r="B18" s="85" t="str">
        <x:v>Electronic Debit - *CRS-BASP24 BAS Pty Ltd</x:v>
      </x:c>
      <x:c r="C18" s="85" t="str">
        <x:v>Supplier payment</x:v>
      </x:c>
      <x:c r="D18" s="85" t="str">
        <x:v>Debit</x:v>
      </x:c>
      <x:c r="E18" s="85" t="str">
        <x:v>Administrative</x:v>
      </x:c>
      <x:c r="F18" s="85" t="str">
        <x:v>Fire systems</x:v>
      </x:c>
      <x:c r="G18" s="91" t="n">
        <x:v>88.92</x:v>
      </x:c>
      <x:c r="H18" s="91" t="n">
        <x:v>0</x:v>
      </x:c>
      <x:c r="I18" s="91" t="n">
        <x:v>62041.87</x:v>
      </x:c>
      <x:c r="J18" s="85" t="str">
        <x:v>High</x:v>
      </x:c>
      <x:c r="K18" s="85" t="str">
        <x:v>c83d0fed-c355-4bb4-abb5-2a19a34c88ac.pdf</x:v>
      </x:c>
    </x:row>
    <x:row r="19">
      <x:c r="A19" s="88" t="n">
        <x:v>46044</x:v>
      </x:c>
      <x:c r="B19" s="85" t="str">
        <x:v>DEFT Bpay - 0000000007</x:v>
      </x:c>
      <x:c r="C19" s="85" t="str">
        <x:v>Deposit</x:v>
      </x:c>
      <x:c r="D19" s="85" t="str">
        <x:v>Credit</x:v>
      </x:c>
      <x:c r="E19" s="85" t="str">
        <x:v>Unallocated</x:v>
      </x:c>
      <x:c r="F19" s="85" t="str">
        <x:v>Levy receipts / owner funds</x:v>
      </x:c>
      <x:c r="G19" s="91" t="n">
        <x:v>0</x:v>
      </x:c>
      <x:c r="H19" s="91" t="n">
        <x:v>1153.77</x:v>
      </x:c>
      <x:c r="I19" s="91" t="n">
        <x:v>61805.64</x:v>
      </x:c>
      <x:c r="J19" s="85" t="str">
        <x:v>Needs review</x:v>
      </x:c>
      <x:c r="K19" s="85" t="str">
        <x:v>c83d0fed-c355-4bb4-abb5-2a19a34c88ac.pdf</x:v>
      </x:c>
    </x:row>
    <x:row r="20">
      <x:c r="A20" s="88" t="n">
        <x:v>46049</x:v>
      </x:c>
      <x:c r="B20" s="85" t="str">
        <x:v>DEFT Bpay - 0000000007</x:v>
      </x:c>
      <x:c r="C20" s="85" t="str">
        <x:v>Deposit</x:v>
      </x:c>
      <x:c r="D20" s="85" t="str">
        <x:v>Credit</x:v>
      </x:c>
      <x:c r="E20" s="85" t="str">
        <x:v>Unallocated</x:v>
      </x:c>
      <x:c r="F20" s="85" t="str">
        <x:v>Levy receipts / owner funds</x:v>
      </x:c>
      <x:c r="G20" s="91" t="n">
        <x:v>0</x:v>
      </x:c>
      <x:c r="H20" s="91" t="n">
        <x:v>5000</x:v>
      </x:c>
      <x:c r="I20" s="91" t="n">
        <x:v>66805.64</x:v>
      </x:c>
      <x:c r="J20" s="85" t="str">
        <x:v>Needs review</x:v>
      </x:c>
      <x:c r="K20" s="85" t="str">
        <x:v>c83d0fed-c355-4bb4-abb5-2a19a34c88ac.pdf</x:v>
      </x:c>
    </x:row>
    <x:row r="21">
      <x:c r="A21" s="88" t="n">
        <x:v>46050</x:v>
      </x:c>
      <x:c r="B21" s="85" t="str">
        <x:v>DEFT Bpay - 0000000007</x:v>
      </x:c>
      <x:c r="C21" s="85" t="str">
        <x:v>Deposit</x:v>
      </x:c>
      <x:c r="D21" s="85" t="str">
        <x:v>Credit</x:v>
      </x:c>
      <x:c r="E21" s="85" t="str">
        <x:v>Unallocated</x:v>
      </x:c>
      <x:c r="F21" s="85" t="str">
        <x:v>Levy receipts / owner funds</x:v>
      </x:c>
      <x:c r="G21" s="91" t="n">
        <x:v>0</x:v>
      </x:c>
      <x:c r="H21" s="91" t="n">
        <x:v>4091</x:v>
      </x:c>
      <x:c r="I21" s="91" t="n">
        <x:v>70896.64</x:v>
      </x:c>
      <x:c r="J21" s="85" t="str">
        <x:v>Needs review</x:v>
      </x:c>
      <x:c r="K21" s="85" t="str">
        <x:v>c83d0fed-c355-4bb4-abb5-2a19a34c88ac.pdf</x:v>
      </x:c>
    </x:row>
    <x:row r="22">
      <x:c r="A22" s="88" t="n">
        <x:v>46050</x:v>
      </x:c>
      <x:c r="B22" s="85" t="str">
        <x:v>Electronic Debit - *CRS-TIMM28 Timmers Maintena</x:v>
      </x:c>
      <x:c r="C22" s="85" t="str">
        <x:v>Supplier payment</x:v>
      </x:c>
      <x:c r="D22" s="85" t="str">
        <x:v>Debit</x:v>
      </x:c>
      <x:c r="E22" s="85" t="str">
        <x:v>Sinking</x:v>
      </x:c>
      <x:c r="F22" s="85" t="str">
        <x:v>Common property - concrete repairs</x:v>
      </x:c>
      <x:c r="G22" s="91" t="n">
        <x:v>2636.1</x:v>
      </x:c>
      <x:c r="H22" s="91" t="n">
        <x:v>0</x:v>
      </x:c>
      <x:c r="I22" s="91" t="n">
        <x:v>74816.04</x:v>
      </x:c>
      <x:c r="J22" s="85" t="str">
        <x:v>High</x:v>
      </x:c>
      <x:c r="K22" s="85" t="str">
        <x:v>c83d0fed-c355-4bb4-abb5-2a19a34c88ac.pdf</x:v>
      </x:c>
    </x:row>
    <x:row r="23">
      <x:c r="A23" s="88" t="n">
        <x:v>46050</x:v>
      </x:c>
      <x:c r="B23" s="85" t="str">
        <x:v>Electronic Debit - *CRS-SAND16 Sandstone Consul</x:v>
      </x:c>
      <x:c r="C23" s="85" t="str">
        <x:v>Supplier payment</x:v>
      </x:c>
      <x:c r="D23" s="85" t="str">
        <x:v>Debit</x:v>
      </x:c>
      <x:c r="E23" s="85" t="str">
        <x:v>Sinking</x:v>
      </x:c>
      <x:c r="F23" s="85" t="str">
        <x:v>Reports - consultancy</x:v>
      </x:c>
      <x:c r="G23" s="91" t="n">
        <x:v>1848</x:v>
      </x:c>
      <x:c r="H23" s="91" t="n">
        <x:v>0</x:v>
      </x:c>
      <x:c r="I23" s="91" t="n">
        <x:v>77452.14</x:v>
      </x:c>
      <x:c r="J23" s="85" t="str">
        <x:v>High</x:v>
      </x:c>
      <x:c r="K23" s="85" t="str">
        <x:v>c83d0fed-c355-4bb4-abb5-2a19a34c88ac.pdf</x:v>
      </x:c>
    </x:row>
    <x:row r="24">
      <x:c r="A24" s="88" t="n">
        <x:v>46050</x:v>
      </x:c>
      <x:c r="B24" s="85" t="str">
        <x:v>Electronic Debit - *CRS-DPXP52 DPX Projects Pty</x:v>
      </x:c>
      <x:c r="C24" s="85" t="str">
        <x:v>Supplier payment</x:v>
      </x:c>
      <x:c r="D24" s="85" t="str">
        <x:v>Debit</x:v>
      </x:c>
      <x:c r="E24" s="85" t="str">
        <x:v>Administrative</x:v>
      </x:c>
      <x:c r="F24" s="85" t="str">
        <x:v>Reports - building inspection</x:v>
      </x:c>
      <x:c r="G24" s="91" t="n">
        <x:v>687.5</x:v>
      </x:c>
      <x:c r="H24" s="91" t="n">
        <x:v>0</x:v>
      </x:c>
      <x:c r="I24" s="91" t="n">
        <x:v>79300.14</x:v>
      </x:c>
      <x:c r="J24" s="85" t="str">
        <x:v>High</x:v>
      </x:c>
      <x:c r="K24" s="85" t="str">
        <x:v>c83d0fed-c355-4bb4-abb5-2a19a34c88ac.pdf</x:v>
      </x:c>
    </x:row>
    <x:row r="25">
      <x:c r="A25" s="88" t="n">
        <x:v>46050</x:v>
      </x:c>
      <x:c r="B25" s="85" t="str">
        <x:v>DEFT Bpay - 0000000001</x:v>
      </x:c>
      <x:c r="C25" s="85" t="str">
        <x:v>Deposit</x:v>
      </x:c>
      <x:c r="D25" s="85" t="str">
        <x:v>Credit</x:v>
      </x:c>
      <x:c r="E25" s="85" t="str">
        <x:v>Unallocated</x:v>
      </x:c>
      <x:c r="F25" s="85" t="str">
        <x:v>Levy receipts / owner funds</x:v>
      </x:c>
      <x:c r="G25" s="91" t="n">
        <x:v>0</x:v>
      </x:c>
      <x:c r="H25" s="91" t="n">
        <x:v>9091</x:v>
      </x:c>
      <x:c r="I25" s="91" t="n">
        <x:v>79987.64</x:v>
      </x:c>
      <x:c r="J25" s="85" t="str">
        <x:v>Needs review</x:v>
      </x:c>
      <x:c r="K25" s="85" t="str">
        <x:v>c83d0fed-c355-4bb4-abb5-2a19a34c88ac.pdf</x:v>
      </x:c>
    </x:row>
    <x:row r="26">
      <x:c r="A26" s="88" t="n">
        <x:v>46051</x:v>
      </x:c>
      <x:c r="B26" s="85" t="str">
        <x:v>DEFT Bpay - 0000000011</x:v>
      </x:c>
      <x:c r="C26" s="85" t="str">
        <x:v>Deposit</x:v>
      </x:c>
      <x:c r="D26" s="85" t="str">
        <x:v>Credit</x:v>
      </x:c>
      <x:c r="E26" s="85" t="str">
        <x:v>Unallocated</x:v>
      </x:c>
      <x:c r="F26" s="85" t="str">
        <x:v>Levy receipts / owner funds</x:v>
      </x:c>
      <x:c r="G26" s="91" t="n">
        <x:v>0</x:v>
      </x:c>
      <x:c r="H26" s="91" t="n">
        <x:v>10244</x:v>
      </x:c>
      <x:c r="I26" s="91" t="n">
        <x:v>85060.04</x:v>
      </x:c>
      <x:c r="J26" s="85" t="str">
        <x:v>Needs review</x:v>
      </x:c>
      <x:c r="K26" s="85" t="str">
        <x:v>c83d0fed-c355-4bb4-abb5-2a19a34c88ac.pdf</x:v>
      </x:c>
    </x:row>
    <x:row r="27">
      <x:c r="A27" s="88" t="n">
        <x:v>46052</x:v>
      </x:c>
      <x:c r="B27" s="85" t="str">
        <x:v>DEFT Bpay - 0000000010</x:v>
      </x:c>
      <x:c r="C27" s="85" t="str">
        <x:v>Deposit</x:v>
      </x:c>
      <x:c r="D27" s="85" t="str">
        <x:v>Credit</x:v>
      </x:c>
      <x:c r="E27" s="85" t="str">
        <x:v>Unallocated</x:v>
      </x:c>
      <x:c r="F27" s="85" t="str">
        <x:v>Levy receipts / owner funds</x:v>
      </x:c>
      <x:c r="G27" s="91" t="n">
        <x:v>0</x:v>
      </x:c>
      <x:c r="H27" s="91" t="n">
        <x:v>1153.77</x:v>
      </x:c>
      <x:c r="I27" s="91" t="n">
        <x:v>86213.81</x:v>
      </x:c>
      <x:c r="J27" s="85" t="str">
        <x:v>Needs review</x:v>
      </x:c>
      <x:c r="K27" s="85" t="str">
        <x:v>c83d0fed-c355-4bb4-abb5-2a19a34c88ac.pdf</x:v>
      </x:c>
    </x:row>
    <x:row r="28">
      <x:c r="A28" s="88" t="n">
        <x:v>46052</x:v>
      </x:c>
      <x:c r="B28" s="85" t="str">
        <x:v>DEFT Bpay - 0000000003</x:v>
      </x:c>
      <x:c r="C28" s="85" t="str">
        <x:v>Deposit</x:v>
      </x:c>
      <x:c r="D28" s="85" t="str">
        <x:v>Credit</x:v>
      </x:c>
      <x:c r="E28" s="85" t="str">
        <x:v>Unallocated</x:v>
      </x:c>
      <x:c r="F28" s="85" t="str">
        <x:v>Levy receipts / owner funds</x:v>
      </x:c>
      <x:c r="G28" s="91" t="n">
        <x:v>0</x:v>
      </x:c>
      <x:c r="H28" s="91" t="n">
        <x:v>1153.77</x:v>
      </x:c>
      <x:c r="I28" s="91" t="n">
        <x:v>87367.58</x:v>
      </x:c>
      <x:c r="J28" s="85" t="str">
        <x:v>Needs review</x:v>
      </x:c>
      <x:c r="K28" s="85" t="str">
        <x:v>c83d0fed-c355-4bb4-abb5-2a19a34c88ac.pdf</x:v>
      </x:c>
    </x:row>
    <x:row r="29">
      <x:c r="A29" s="88" t="n">
        <x:v>46052</x:v>
      </x:c>
      <x:c r="B29" s="85" t="str">
        <x:v>DEFT Bpay - 0000000010</x:v>
      </x:c>
      <x:c r="C29" s="85" t="str">
        <x:v>Deposit</x:v>
      </x:c>
      <x:c r="D29" s="85" t="str">
        <x:v>Credit</x:v>
      </x:c>
      <x:c r="E29" s="85" t="str">
        <x:v>Unallocated</x:v>
      </x:c>
      <x:c r="F29" s="85" t="str">
        <x:v>Levy receipts / owner funds</x:v>
      </x:c>
      <x:c r="G29" s="91" t="n">
        <x:v>0</x:v>
      </x:c>
      <x:c r="H29" s="91" t="n">
        <x:v>9091</x:v>
      </x:c>
      <x:c r="I29" s="91" t="n">
        <x:v>96458.58</x:v>
      </x:c>
      <x:c r="J29" s="85" t="str">
        <x:v>Needs review</x:v>
      </x:c>
      <x:c r="K29" s="85" t="str">
        <x:v>c83d0fed-c355-4bb4-abb5-2a19a34c88ac.pdf</x:v>
      </x:c>
    </x:row>
    <x:row r="30">
      <x:c r="A30" s="88" t="n">
        <x:v>46052</x:v>
      </x:c>
      <x:c r="B30" s="85" t="str">
        <x:v>DEFT Bpay - 0000000004</x:v>
      </x:c>
      <x:c r="C30" s="85" t="str">
        <x:v>Deposit</x:v>
      </x:c>
      <x:c r="D30" s="85" t="str">
        <x:v>Credit</x:v>
      </x:c>
      <x:c r="E30" s="85" t="str">
        <x:v>Unallocated</x:v>
      </x:c>
      <x:c r="F30" s="85" t="str">
        <x:v>Levy receipts / owner funds</x:v>
      </x:c>
      <x:c r="G30" s="91" t="n">
        <x:v>0</x:v>
      </x:c>
      <x:c r="H30" s="91" t="n">
        <x:v>9091</x:v>
      </x:c>
      <x:c r="I30" s="91" t="n">
        <x:v>105549.58</x:v>
      </x:c>
      <x:c r="J30" s="85" t="str">
        <x:v>Needs review</x:v>
      </x:c>
      <x:c r="K30" s="85" t="str">
        <x:v>c83d0fed-c355-4bb4-abb5-2a19a34c88ac.pdf</x:v>
      </x:c>
    </x:row>
    <x:row r="31">
      <x:c r="A31" s="88" t="n">
        <x:v>46052</x:v>
      </x:c>
      <x:c r="B31" s="85" t="str">
        <x:v>DEFT Bpay - 0000000005</x:v>
      </x:c>
      <x:c r="C31" s="85" t="str">
        <x:v>Deposit</x:v>
      </x:c>
      <x:c r="D31" s="85" t="str">
        <x:v>Credit</x:v>
      </x:c>
      <x:c r="E31" s="85" t="str">
        <x:v>Unallocated</x:v>
      </x:c>
      <x:c r="F31" s="85" t="str">
        <x:v>Levy receipts / owner funds</x:v>
      </x:c>
      <x:c r="G31" s="91" t="n">
        <x:v>0</x:v>
      </x:c>
      <x:c r="H31" s="91" t="n">
        <x:v>9091</x:v>
      </x:c>
      <x:c r="I31" s="91" t="n">
        <x:v>114640.58</x:v>
      </x:c>
      <x:c r="J31" s="85" t="str">
        <x:v>Needs review</x:v>
      </x:c>
      <x:c r="K31" s="85" t="str">
        <x:v>c83d0fed-c355-4bb4-abb5-2a19a34c88ac.pdf</x:v>
      </x:c>
    </x:row>
    <x:row r="32">
      <x:c r="A32" s="88" t="n">
        <x:v>46052</x:v>
      </x:c>
      <x:c r="B32" s="85" t="str">
        <x:v>DEFT I/Tfr - 0000000002</x:v>
      </x:c>
      <x:c r="C32" s="85" t="str">
        <x:v>Deposit</x:v>
      </x:c>
      <x:c r="D32" s="85" t="str">
        <x:v>Credit</x:v>
      </x:c>
      <x:c r="E32" s="85" t="str">
        <x:v>Unallocated</x:v>
      </x:c>
      <x:c r="F32" s="85" t="str">
        <x:v>Levy receipts / owner funds</x:v>
      </x:c>
      <x:c r="G32" s="91" t="n">
        <x:v>0</x:v>
      </x:c>
      <x:c r="H32" s="91" t="n">
        <x:v>9091</x:v>
      </x:c>
      <x:c r="I32" s="91" t="n">
        <x:v>123731.58</x:v>
      </x:c>
      <x:c r="J32" s="85" t="str">
        <x:v>Needs review</x:v>
      </x:c>
      <x:c r="K32" s="85" t="str">
        <x:v>c83d0fed-c355-4bb4-abb5-2a19a34c88ac.pdf</x:v>
      </x:c>
    </x:row>
    <x:row r="33">
      <x:c r="A33" s="88" t="n">
        <x:v>46055</x:v>
      </x:c>
      <x:c r="B33" s="85" t="str">
        <x:v>DEFT I/CCd - MD 0000000002</x:v>
      </x:c>
      <x:c r="C33" s="85" t="str">
        <x:v>Deposit</x:v>
      </x:c>
      <x:c r="D33" s="85" t="str">
        <x:v>Credit</x:v>
      </x:c>
      <x:c r="E33" s="85" t="str">
        <x:v>Unallocated</x:v>
      </x:c>
      <x:c r="F33" s="85" t="str">
        <x:v>Levy receipts / owner funds</x:v>
      </x:c>
      <x:c r="G33" s="91" t="n">
        <x:v>0</x:v>
      </x:c>
      <x:c r="H33" s="91" t="n">
        <x:v>1153.77</x:v>
      </x:c>
      <x:c r="I33" s="91" t="n">
        <x:v>124885.35</x:v>
      </x:c>
      <x:c r="J33" s="85" t="str">
        <x:v>Needs review</x:v>
      </x:c>
      <x:c r="K33" s="85" t="str">
        <x:v>ef538ebe-f0e6-49e7-9792-6d189e1be8fa.pdf</x:v>
      </x:c>
    </x:row>
    <x:row r="34">
      <x:c r="A34" s="88" t="n">
        <x:v>46055</x:v>
      </x:c>
      <x:c r="B34" s="85" t="str">
        <x:v>DEFT Bpay - 0000000003</x:v>
      </x:c>
      <x:c r="C34" s="85" t="str">
        <x:v>Deposit</x:v>
      </x:c>
      <x:c r="D34" s="85" t="str">
        <x:v>Credit</x:v>
      </x:c>
      <x:c r="E34" s="85" t="str">
        <x:v>Unallocated</x:v>
      </x:c>
      <x:c r="F34" s="85" t="str">
        <x:v>Levy receipts / owner funds</x:v>
      </x:c>
      <x:c r="G34" s="91" t="n">
        <x:v>0</x:v>
      </x:c>
      <x:c r="H34" s="91" t="n">
        <x:v>4091</x:v>
      </x:c>
      <x:c r="I34" s="91" t="n">
        <x:v>128976.35</x:v>
      </x:c>
      <x:c r="J34" s="85" t="str">
        <x:v>Needs review</x:v>
      </x:c>
      <x:c r="K34" s="85" t="str">
        <x:v>ef538ebe-f0e6-49e7-9792-6d189e1be8fa.pdf</x:v>
      </x:c>
    </x:row>
    <x:row r="35">
      <x:c r="A35" s="88" t="n">
        <x:v>46055</x:v>
      </x:c>
      <x:c r="B35" s="85" t="str">
        <x:v>DEFT Bpay - 0000000003</x:v>
      </x:c>
      <x:c r="C35" s="85" t="str">
        <x:v>Deposit</x:v>
      </x:c>
      <x:c r="D35" s="85" t="str">
        <x:v>Credit</x:v>
      </x:c>
      <x:c r="E35" s="85" t="str">
        <x:v>Unallocated</x:v>
      </x:c>
      <x:c r="F35" s="85" t="str">
        <x:v>Levy receipts / owner funds</x:v>
      </x:c>
      <x:c r="G35" s="91" t="n">
        <x:v>0</x:v>
      </x:c>
      <x:c r="H35" s="91" t="n">
        <x:v>5000</x:v>
      </x:c>
      <x:c r="I35" s="91" t="n">
        <x:v>133976.35</x:v>
      </x:c>
      <x:c r="J35" s="85" t="str">
        <x:v>Needs review</x:v>
      </x:c>
      <x:c r="K35" s="85" t="str">
        <x:v>ef538ebe-f0e6-49e7-9792-6d189e1be8fa.pdf</x:v>
      </x:c>
    </x:row>
    <x:row r="36">
      <x:c r="A36" s="88" t="n">
        <x:v>46055</x:v>
      </x:c>
      <x:c r="B36" s="85" t="str">
        <x:v>DEFT Bpay - 0000000006</x:v>
      </x:c>
      <x:c r="C36" s="85" t="str">
        <x:v>Deposit</x:v>
      </x:c>
      <x:c r="D36" s="85" t="str">
        <x:v>Credit</x:v>
      </x:c>
      <x:c r="E36" s="85" t="str">
        <x:v>Unallocated</x:v>
      </x:c>
      <x:c r="F36" s="85" t="str">
        <x:v>Levy receipts / owner funds</x:v>
      </x:c>
      <x:c r="G36" s="91" t="n">
        <x:v>0</x:v>
      </x:c>
      <x:c r="H36" s="91" t="n">
        <x:v>9091</x:v>
      </x:c>
      <x:c r="I36" s="91" t="n">
        <x:v>143067.35</x:v>
      </x:c>
      <x:c r="J36" s="85" t="str">
        <x:v>Needs review</x:v>
      </x:c>
      <x:c r="K36" s="85" t="str">
        <x:v>ef538ebe-f0e6-49e7-9792-6d189e1be8fa.pdf</x:v>
      </x:c>
    </x:row>
    <x:row r="37">
      <x:c r="A37" s="88" t="n">
        <x:v>46055</x:v>
      </x:c>
      <x:c r="B37" s="85" t="str">
        <x:v>Electronic Debit - *CRS-089449 Whittles</x:v>
      </x:c>
      <x:c r="C37" s="85" t="str">
        <x:v>Management payment</x:v>
      </x:c>
      <x:c r="D37" s="85" t="str">
        <x:v>Debit</x:v>
      </x:c>
      <x:c r="E37" s="85" t="str">
        <x:v>Administrative</x:v>
      </x:c>
      <x:c r="F37" s="85" t="str">
        <x:v>Body corporate management</x:v>
      </x:c>
      <x:c r="G37" s="91" t="n">
        <x:v>266.56</x:v>
      </x:c>
      <x:c r="H37" s="91" t="n">
        <x:v>0</x:v>
      </x:c>
      <x:c r="I37" s="91" t="n">
        <x:v>153045.56</x:v>
      </x:c>
      <x:c r="J37" s="85" t="str">
        <x:v>High</x:v>
      </x:c>
      <x:c r="K37" s="85" t="str">
        <x:v>ef538ebe-f0e6-49e7-9792-6d189e1be8fa.pdf</x:v>
      </x:c>
    </x:row>
    <x:row r="38">
      <x:c r="A38" s="88" t="n">
        <x:v>46055</x:v>
      </x:c>
      <x:c r="B38" s="85" t="str">
        <x:v>DEFT I/Tfr - 0000000008</x:v>
      </x:c>
      <x:c r="C38" s="85" t="str">
        <x:v>Deposit</x:v>
      </x:c>
      <x:c r="D38" s="85" t="str">
        <x:v>Credit</x:v>
      </x:c>
      <x:c r="E38" s="85" t="str">
        <x:v>Unallocated</x:v>
      </x:c>
      <x:c r="F38" s="85" t="str">
        <x:v>Levy receipts / owner funds</x:v>
      </x:c>
      <x:c r="G38" s="91" t="n">
        <x:v>0</x:v>
      </x:c>
      <x:c r="H38" s="91" t="n">
        <x:v>10244.77</x:v>
      </x:c>
      <x:c r="I38" s="91" t="n">
        <x:v>153312.12</x:v>
      </x:c>
      <x:c r="J38" s="85" t="str">
        <x:v>Needs review</x:v>
      </x:c>
      <x:c r="K38" s="85" t="str">
        <x:v>ef538ebe-f0e6-49e7-9792-6d189e1be8fa.pdf</x:v>
      </x:c>
    </x:row>
    <x:row r="39">
      <x:c r="A39" s="88" t="n">
        <x:v>46057</x:v>
      </x:c>
      <x:c r="B39" s="85" t="str">
        <x:v>Electronic Debit - *CRS-BRIS94 Brisbane City Pl</x:v>
      </x:c>
      <x:c r="C39" s="85" t="str">
        <x:v>Supplier payment</x:v>
      </x:c>
      <x:c r="D39" s="85" t="str">
        <x:v>Debit</x:v>
      </x:c>
      <x:c r="E39" s="85" t="str">
        <x:v>Sinking</x:v>
      </x:c>
      <x:c r="F39" s="85" t="str">
        <x:v>Plumbing - capital repair</x:v>
      </x:c>
      <x:c r="G39" s="91" t="n">
        <x:v>1974.5</x:v>
      </x:c>
      <x:c r="H39" s="91" t="n">
        <x:v>0</x:v>
      </x:c>
      <x:c r="I39" s="91" t="n">
        <x:v>149615.36</x:v>
      </x:c>
      <x:c r="J39" s="85" t="str">
        <x:v>High</x:v>
      </x:c>
      <x:c r="K39" s="85" t="str">
        <x:v>ef538ebe-f0e6-49e7-9792-6d189e1be8fa.pdf</x:v>
      </x:c>
    </x:row>
    <x:row r="40">
      <x:c r="A40" s="88" t="n">
        <x:v>46057</x:v>
      </x:c>
      <x:c r="B40" s="85" t="str">
        <x:v>Electronic Debit - *CRS-SKYL51 Skyline Accounti</x:v>
      </x:c>
      <x:c r="C40" s="85" t="str">
        <x:v>Supplier payment</x:v>
      </x:c>
      <x:c r="D40" s="85" t="str">
        <x:v>Debit</x:v>
      </x:c>
      <x:c r="E40" s="85" t="str">
        <x:v>Administrative</x:v>
      </x:c>
      <x:c r="F40" s="85" t="str">
        <x:v>Accounting &amp; audit</x:v>
      </x:c>
      <x:c r="G40" s="91" t="n">
        <x:v>617.7</x:v>
      </x:c>
      <x:c r="H40" s="91" t="n">
        <x:v>0</x:v>
      </x:c>
      <x:c r="I40" s="91" t="n">
        <x:v>151589.86</x:v>
      </x:c>
      <x:c r="J40" s="85" t="str">
        <x:v>High</x:v>
      </x:c>
      <x:c r="K40" s="85" t="str">
        <x:v>ef538ebe-f0e6-49e7-9792-6d189e1be8fa.pdf</x:v>
      </x:c>
    </x:row>
    <x:row r="41">
      <x:c r="A41" s="88" t="n">
        <x:v>46057</x:v>
      </x:c>
      <x:c r="B41" s="85" t="str">
        <x:v>Electronic Debit - *CRS-BODY57 Body Corp Group</x:v>
      </x:c>
      <x:c r="C41" s="85" t="str">
        <x:v>Supplier payment</x:v>
      </x:c>
      <x:c r="D41" s="85" t="str">
        <x:v>Debit</x:v>
      </x:c>
      <x:c r="E41" s="85" t="str">
        <x:v>Administrative</x:v>
      </x:c>
      <x:c r="F41" s="85" t="str">
        <x:v>Cleaning &amp; grounds</x:v>
      </x:c>
      <x:c r="G41" s="91" t="n">
        <x:v>308</x:v>
      </x:c>
      <x:c r="H41" s="91" t="n">
        <x:v>0</x:v>
      </x:c>
      <x:c r="I41" s="91" t="n">
        <x:v>152207.56</x:v>
      </x:c>
      <x:c r="J41" s="85" t="str">
        <x:v>High</x:v>
      </x:c>
      <x:c r="K41" s="85" t="str">
        <x:v>ef538ebe-f0e6-49e7-9792-6d189e1be8fa.pdf</x:v>
      </x:c>
    </x:row>
    <x:row r="42">
      <x:c r="A42" s="88" t="n">
        <x:v>46057</x:v>
      </x:c>
      <x:c r="B42" s="85" t="str">
        <x:v>Electronic Debit - *CRS-BODY57 Body Corp Group</x:v>
      </x:c>
      <x:c r="C42" s="85" t="str">
        <x:v>Supplier payment</x:v>
      </x:c>
      <x:c r="D42" s="85" t="str">
        <x:v>Debit</x:v>
      </x:c>
      <x:c r="E42" s="85" t="str">
        <x:v>Administrative</x:v>
      </x:c>
      <x:c r="F42" s="85" t="str">
        <x:v>Cleaning &amp; grounds</x:v>
      </x:c>
      <x:c r="G42" s="91" t="n">
        <x:v>275</x:v>
      </x:c>
      <x:c r="H42" s="91" t="n">
        <x:v>0</x:v>
      </x:c>
      <x:c r="I42" s="91" t="n">
        <x:v>152515.56</x:v>
      </x:c>
      <x:c r="J42" s="85" t="str">
        <x:v>High</x:v>
      </x:c>
      <x:c r="K42" s="85" t="str">
        <x:v>ef538ebe-f0e6-49e7-9792-6d189e1be8fa.pdf</x:v>
      </x:c>
    </x:row>
    <x:row r="43">
      <x:c r="A43" s="88" t="n">
        <x:v>46057</x:v>
      </x:c>
      <x:c r="B43" s="85" t="str">
        <x:v>Electronic Debit - *CRS-OXLE48 Oxley Gardening</x:v>
      </x:c>
      <x:c r="C43" s="85" t="str">
        <x:v>Supplier payment</x:v>
      </x:c>
      <x:c r="D43" s="85" t="str">
        <x:v>Debit</x:v>
      </x:c>
      <x:c r="E43" s="85" t="str">
        <x:v>Administrative</x:v>
      </x:c>
      <x:c r="F43" s="85" t="str">
        <x:v>Grounds</x:v>
      </x:c>
      <x:c r="G43" s="91" t="n">
        <x:v>255</x:v>
      </x:c>
      <x:c r="H43" s="91" t="n">
        <x:v>0</x:v>
      </x:c>
      <x:c r="I43" s="91" t="n">
        <x:v>152790.56</x:v>
      </x:c>
      <x:c r="J43" s="85" t="str">
        <x:v>High</x:v>
      </x:c>
      <x:c r="K43" s="85" t="str">
        <x:v>ef538ebe-f0e6-49e7-9792-6d189e1be8fa.pdf</x:v>
      </x:c>
    </x:row>
    <x:row r="44">
      <x:c r="A44" s="88" t="n">
        <x:v>46064</x:v>
      </x:c>
      <x:c r="B44" s="85" t="str">
        <x:v>Electronic Debit - BPay Biller 130112 400000265167 00000147794296 Origin Energy Electricity</x:v>
      </x:c>
      <x:c r="C44" s="85" t="str">
        <x:v>Supplier payment</x:v>
      </x:c>
      <x:c r="D44" s="85" t="str">
        <x:v>Debit</x:v>
      </x:c>
      <x:c r="E44" s="85" t="str">
        <x:v>Administrative</x:v>
      </x:c>
      <x:c r="F44" s="85" t="str">
        <x:v>Utilities - electricity</x:v>
      </x:c>
      <x:c r="G44" s="91" t="n">
        <x:v>413.68</x:v>
      </x:c>
      <x:c r="H44" s="91" t="n">
        <x:v>0</x:v>
      </x:c>
      <x:c r="I44" s="91" t="n">
        <x:v>149201.68</x:v>
      </x:c>
      <x:c r="J44" s="85" t="str">
        <x:v>High</x:v>
      </x:c>
      <x:c r="K44" s="85" t="str">
        <x:v>ef538ebe-f0e6-49e7-9792-6d189e1be8fa.pdf</x:v>
      </x:c>
    </x:row>
    <x:row r="45">
      <x:c r="A45" s="88" t="n">
        <x:v>46065</x:v>
      </x:c>
      <x:c r="B45" s="85" t="str">
        <x:v>DEFT Bpay - 0000000004</x:v>
      </x:c>
      <x:c r="C45" s="85" t="str">
        <x:v>Deposit</x:v>
      </x:c>
      <x:c r="D45" s="85" t="str">
        <x:v>Credit</x:v>
      </x:c>
      <x:c r="E45" s="85" t="str">
        <x:v>Unallocated</x:v>
      </x:c>
      <x:c r="F45" s="85" t="str">
        <x:v>Levy receipts / owner funds</x:v>
      </x:c>
      <x:c r="G45" s="91" t="n">
        <x:v>0</x:v>
      </x:c>
      <x:c r="H45" s="91" t="n">
        <x:v>1153.77</x:v>
      </x:c>
      <x:c r="I45" s="91" t="n">
        <x:v>150355.45</x:v>
      </x:c>
      <x:c r="J45" s="85" t="str">
        <x:v>Needs review</x:v>
      </x:c>
      <x:c r="K45" s="85" t="str">
        <x:v>ef538ebe-f0e6-49e7-9792-6d189e1be8fa.pdf</x:v>
      </x:c>
    </x:row>
    <x:row r="46">
      <x:c r="A46" s="88" t="n">
        <x:v>46071</x:v>
      </x:c>
      <x:c r="B46" s="85" t="str">
        <x:v>Electronic Debit - BPay Biller 36160 049432340006 00001823423382 MGA Insurance Brokers Pty</x:v>
      </x:c>
      <x:c r="C46" s="85" t="str">
        <x:v>Supplier payment</x:v>
      </x:c>
      <x:c r="D46" s="85" t="str">
        <x:v>Debit</x:v>
      </x:c>
      <x:c r="E46" s="85" t="str">
        <x:v>Administrative</x:v>
      </x:c>
      <x:c r="F46" s="85" t="str">
        <x:v>Insurance - renewal</x:v>
      </x:c>
      <x:c r="G46" s="91" t="n">
        <x:v>12835</x:v>
      </x:c>
      <x:c r="H46" s="91" t="n">
        <x:v>0</x:v>
      </x:c>
      <x:c r="I46" s="91" t="n">
        <x:v>138873.74</x:v>
      </x:c>
      <x:c r="J46" s="85" t="str">
        <x:v>High</x:v>
      </x:c>
      <x:c r="K46" s="85" t="str">
        <x:v>ef538ebe-f0e6-49e7-9792-6d189e1be8fa.pdf</x:v>
      </x:c>
    </x:row>
    <x:row r="47">
      <x:c r="A47" s="88" t="n">
        <x:v>46071</x:v>
      </x:c>
      <x:c r="B47" s="85" t="str">
        <x:v>Electronic Debit - *CRS-BASP24 BAS Pty Ltd</x:v>
      </x:c>
      <x:c r="C47" s="85" t="str">
        <x:v>Supplier payment</x:v>
      </x:c>
      <x:c r="D47" s="85" t="str">
        <x:v>Debit</x:v>
      </x:c>
      <x:c r="E47" s="85" t="str">
        <x:v>Administrative</x:v>
      </x:c>
      <x:c r="F47" s="85" t="str">
        <x:v>Fire systems</x:v>
      </x:c>
      <x:c r="G47" s="91" t="n">
        <x:v>88.92</x:v>
      </x:c>
      <x:c r="H47" s="91" t="n">
        <x:v>0</x:v>
      </x:c>
      <x:c r="I47" s="91" t="n">
        <x:v>151708.74</x:v>
      </x:c>
      <x:c r="J47" s="85" t="str">
        <x:v>High</x:v>
      </x:c>
      <x:c r="K47" s="85" t="str">
        <x:v>ef538ebe-f0e6-49e7-9792-6d189e1be8fa.pdf</x:v>
      </x:c>
    </x:row>
    <x:row r="48">
      <x:c r="A48" s="88" t="n">
        <x:v>46071</x:v>
      </x:c>
      <x:c r="B48" s="85" t="str">
        <x:v>DEFT Bpay - 0000000005</x:v>
      </x:c>
      <x:c r="C48" s="85" t="str">
        <x:v>Deposit</x:v>
      </x:c>
      <x:c r="D48" s="85" t="str">
        <x:v>Credit</x:v>
      </x:c>
      <x:c r="E48" s="85" t="str">
        <x:v>Unallocated</x:v>
      </x:c>
      <x:c r="F48" s="85" t="str">
        <x:v>Levy receipts / owner funds</x:v>
      </x:c>
      <x:c r="G48" s="91" t="n">
        <x:v>0</x:v>
      </x:c>
      <x:c r="H48" s="91" t="n">
        <x:v>1442.21</x:v>
      </x:c>
      <x:c r="I48" s="91" t="n">
        <x:v>151797.66</x:v>
      </x:c>
      <x:c r="J48" s="85" t="str">
        <x:v>Needs review</x:v>
      </x:c>
      <x:c r="K48" s="85" t="str">
        <x:v>ef538ebe-f0e6-49e7-9792-6d189e1be8fa.pdf</x:v>
      </x:c>
    </x:row>
    <x:row r="49">
      <x:c r="A49" s="88" t="n">
        <x:v>46077</x:v>
      </x:c>
      <x:c r="B49" s="85" t="str">
        <x:v>Electronic Debit - *CRS-090116 Whittles</x:v>
      </x:c>
      <x:c r="C49" s="85" t="str">
        <x:v>Management payment</x:v>
      </x:c>
      <x:c r="D49" s="85" t="str">
        <x:v>Debit</x:v>
      </x:c>
      <x:c r="E49" s="85" t="str">
        <x:v>Administrative</x:v>
      </x:c>
      <x:c r="F49" s="85" t="str">
        <x:v>Body corporate management</x:v>
      </x:c>
      <x:c r="G49" s="91" t="n">
        <x:v>55</x:v>
      </x:c>
      <x:c r="H49" s="91" t="n">
        <x:v>0</x:v>
      </x:c>
      <x:c r="I49" s="91" t="n">
        <x:v>138818.74</x:v>
      </x:c>
      <x:c r="J49" s="85" t="str">
        <x:v>High</x:v>
      </x:c>
      <x:c r="K49" s="85" t="str">
        <x:v>ef538ebe-f0e6-49e7-9792-6d189e1be8fa.pdf</x:v>
      </x:c>
    </x:row>
    <x:row r="50">
      <x:c r="A50" s="88" t="n">
        <x:v>46078</x:v>
      </x:c>
      <x:c r="B50" s="85" t="str">
        <x:v>Electronic Debit - *CRS-OXLE48 Oxley Gardening</x:v>
      </x:c>
      <x:c r="C50" s="85" t="str">
        <x:v>Supplier payment</x:v>
      </x:c>
      <x:c r="D50" s="85" t="str">
        <x:v>Debit</x:v>
      </x:c>
      <x:c r="E50" s="85" t="str">
        <x:v>Administrative</x:v>
      </x:c>
      <x:c r="F50" s="85" t="str">
        <x:v>Grounds</x:v>
      </x:c>
      <x:c r="G50" s="91" t="n">
        <x:v>255</x:v>
      </x:c>
      <x:c r="H50" s="91" t="n">
        <x:v>0</x:v>
      </x:c>
      <x:c r="I50" s="91" t="n">
        <x:v>138484.74</x:v>
      </x:c>
      <x:c r="J50" s="85" t="str">
        <x:v>High</x:v>
      </x:c>
      <x:c r="K50" s="85" t="str">
        <x:v>ef538ebe-f0e6-49e7-9792-6d189e1be8fa.pdf</x:v>
      </x:c>
    </x:row>
    <x:row r="51">
      <x:c r="A51" s="88" t="n">
        <x:v>46078</x:v>
      </x:c>
      <x:c r="B51" s="85" t="str">
        <x:v>Electronic Debit - BPay Biller 262097 656500057473589 00000553837511 Brisbane City Council 262</x:v>
      </x:c>
      <x:c r="C51" s="85" t="str">
        <x:v>Supplier payment</x:v>
      </x:c>
      <x:c r="D51" s="85" t="str">
        <x:v>Debit</x:v>
      </x:c>
      <x:c r="E51" s="85" t="str">
        <x:v>Administrative</x:v>
      </x:c>
      <x:c r="F51" s="85" t="str">
        <x:v>Plumbing - backflow registration</x:v>
      </x:c>
      <x:c r="G51" s="91" t="n">
        <x:v>79</x:v>
      </x:c>
      <x:c r="H51" s="91" t="n">
        <x:v>0</x:v>
      </x:c>
      <x:c r="I51" s="91" t="n">
        <x:v>138739.74</x:v>
      </x:c>
      <x:c r="J51" s="85" t="str">
        <x:v>High</x:v>
      </x:c>
      <x:c r="K51" s="85" t="str">
        <x:v>ef538ebe-f0e6-49e7-9792-6d189e1be8fa.pdf</x:v>
      </x:c>
    </x:row>
    <x:row r="52">
      <x:c r="A52" s="88" t="n">
        <x:v>46080</x:v>
      </x:c>
      <x:c r="B52" s="85" t="str">
        <x:v>Electronic Debit - *CRS-090217 Whittles</x:v>
      </x:c>
      <x:c r="C52" s="85" t="str">
        <x:v>Management payment</x:v>
      </x:c>
      <x:c r="D52" s="85" t="str">
        <x:v>Debit</x:v>
      </x:c>
      <x:c r="E52" s="85" t="str">
        <x:v>Administrative</x:v>
      </x:c>
      <x:c r="F52" s="85" t="str">
        <x:v>Body corporate management</x:v>
      </x:c>
      <x:c r="G52" s="91" t="n">
        <x:v>55</x:v>
      </x:c>
      <x:c r="H52" s="91" t="n">
        <x:v>0</x:v>
      </x:c>
      <x:c r="I52" s="91" t="n">
        <x:v>138429.74</x:v>
      </x:c>
      <x:c r="J52" s="85" t="str">
        <x:v>High</x:v>
      </x:c>
      <x:c r="K52" s="85" t="str">
        <x:v>ef538ebe-f0e6-49e7-9792-6d189e1be8fa.pdf</x:v>
      </x:c>
    </x:row>
    <x:row r="53">
      <x:c r="A53" s="88" t="n">
        <x:v>46083</x:v>
      </x:c>
      <x:c r="B53" s="85" t="str">
        <x:v>Electronic Debit - *CRS-090655 Whittles</x:v>
      </x:c>
      <x:c r="C53" s="85" t="str">
        <x:v>Management payment</x:v>
      </x:c>
      <x:c r="D53" s="85" t="str">
        <x:v>Debit</x:v>
      </x:c>
      <x:c r="E53" s="85" t="str">
        <x:v>Administrative</x:v>
      </x:c>
      <x:c r="F53" s="85" t="str">
        <x:v>Body corporate management</x:v>
      </x:c>
      <x:c r="G53" s="91" t="n">
        <x:v>266.56</x:v>
      </x:c>
      <x:c r="H53" s="91" t="n">
        <x:v>0</x:v>
      </x:c>
      <x:c r="I53" s="91" t="n">
        <x:v>138163.18</x:v>
      </x:c>
      <x:c r="J53" s="85" t="str">
        <x:v>High</x:v>
      </x:c>
      <x:c r="K53" s="85" t="str">
        <x:v>8419f5bb-fbc0-4ddb-b4e6-b705c2d13d6c.pdf</x:v>
      </x:c>
    </x:row>
    <x:row r="54">
      <x:c r="A54" s="88" t="n">
        <x:v>46091</x:v>
      </x:c>
      <x:c r="B54" s="85" t="str">
        <x:v>Electronic Debit - *CRS-091021 Whittles</x:v>
      </x:c>
      <x:c r="C54" s="85" t="str">
        <x:v>Management payment</x:v>
      </x:c>
      <x:c r="D54" s="85" t="str">
        <x:v>Debit</x:v>
      </x:c>
      <x:c r="E54" s="85" t="str">
        <x:v>Administrative</x:v>
      </x:c>
      <x:c r="F54" s="85" t="str">
        <x:v>Body corporate management</x:v>
      </x:c>
      <x:c r="G54" s="91" t="n">
        <x:v>22</x:v>
      </x:c>
      <x:c r="H54" s="91" t="n">
        <x:v>0</x:v>
      </x:c>
      <x:c r="I54" s="91" t="n">
        <x:v>138141.18</x:v>
      </x:c>
      <x:c r="J54" s="85" t="str">
        <x:v>High</x:v>
      </x:c>
      <x:c r="K54" s="85" t="str">
        <x:v>8419f5bb-fbc0-4ddb-b4e6-b705c2d13d6c.pdf</x:v>
      </x:c>
    </x:row>
    <x:row r="55">
      <x:c r="A55" s="88" t="n">
        <x:v>46092</x:v>
      </x:c>
      <x:c r="B55" s="85" t="str">
        <x:v>Electronic Debit - *CRS-BODY57 Body Corp Group</x:v>
      </x:c>
      <x:c r="C55" s="85" t="str">
        <x:v>Supplier payment</x:v>
      </x:c>
      <x:c r="D55" s="85" t="str">
        <x:v>Debit</x:v>
      </x:c>
      <x:c r="E55" s="85" t="str">
        <x:v>Administrative</x:v>
      </x:c>
      <x:c r="F55" s="85" t="str">
        <x:v>Cleaning &amp; grounds</x:v>
      </x:c>
      <x:c r="G55" s="91" t="n">
        <x:v>220</x:v>
      </x:c>
      <x:c r="H55" s="91" t="n">
        <x:v>0</x:v>
      </x:c>
      <x:c r="I55" s="91" t="n">
        <x:v>138231.62</x:v>
      </x:c>
      <x:c r="J55" s="85" t="str">
        <x:v>High</x:v>
      </x:c>
      <x:c r="K55" s="85" t="str">
        <x:v>8419f5bb-fbc0-4ddb-b4e6-b705c2d13d6c.pdf</x:v>
      </x:c>
    </x:row>
    <x:row r="56">
      <x:c r="A56" s="88" t="n">
        <x:v>46092</x:v>
      </x:c>
      <x:c r="B56" s="85" t="str">
        <x:v>DEFT Bpay - 0000000004</x:v>
      </x:c>
      <x:c r="C56" s="85" t="str">
        <x:v>Deposit</x:v>
      </x:c>
      <x:c r="D56" s="85" t="str">
        <x:v>Credit</x:v>
      </x:c>
      <x:c r="E56" s="85" t="str">
        <x:v>Unallocated</x:v>
      </x:c>
      <x:c r="F56" s="85" t="str">
        <x:v>Levy receipts / owner funds</x:v>
      </x:c>
      <x:c r="G56" s="91" t="n">
        <x:v>0</x:v>
      </x:c>
      <x:c r="H56" s="91" t="n">
        <x:v>310.44</x:v>
      </x:c>
      <x:c r="I56" s="91" t="n">
        <x:v>138451.62</x:v>
      </x:c>
      <x:c r="J56" s="85" t="str">
        <x:v>Needs review</x:v>
      </x:c>
      <x:c r="K56" s="85" t="str">
        <x:v>8419f5bb-fbc0-4ddb-b4e6-b705c2d13d6c.pdf</x:v>
      </x:c>
    </x:row>
    <x:row r="57">
      <x:c r="A57" s="88" t="n">
        <x:v>46099</x:v>
      </x:c>
      <x:c r="B57" s="85" t="str">
        <x:v>Electronic Debit - *CRS-BASP24 BAS Pty Ltd</x:v>
      </x:c>
      <x:c r="C57" s="85" t="str">
        <x:v>Supplier payment</x:v>
      </x:c>
      <x:c r="D57" s="85" t="str">
        <x:v>Debit</x:v>
      </x:c>
      <x:c r="E57" s="85" t="str">
        <x:v>Administrative</x:v>
      </x:c>
      <x:c r="F57" s="85" t="str">
        <x:v>Fire systems</x:v>
      </x:c>
      <x:c r="G57" s="91" t="n">
        <x:v>88.92</x:v>
      </x:c>
      <x:c r="H57" s="91" t="n">
        <x:v>0</x:v>
      </x:c>
      <x:c r="I57" s="91" t="n">
        <x:v>138142.7</x:v>
      </x:c>
      <x:c r="J57" s="85" t="str">
        <x:v>High</x:v>
      </x:c>
      <x:c r="K57" s="85" t="str">
        <x:v>8419f5bb-fbc0-4ddb-b4e6-b705c2d13d6c.pdf</x:v>
      </x:c>
    </x:row>
    <x:row r="58">
      <x:c r="A58" s="88" t="n">
        <x:v>46106</x:v>
      </x:c>
      <x:c r="B58" s="85" t="str">
        <x:v>Electronic Debit - *CRS-OXLE48 Oxley Gardening</x:v>
      </x:c>
      <x:c r="C58" s="85" t="str">
        <x:v>Supplier payment</x:v>
      </x:c>
      <x:c r="D58" s="85" t="str">
        <x:v>Debit</x:v>
      </x:c>
      <x:c r="E58" s="85" t="str">
        <x:v>Administrative</x:v>
      </x:c>
      <x:c r="F58" s="85" t="str">
        <x:v>Grounds</x:v>
      </x:c>
      <x:c r="G58" s="91" t="n">
        <x:v>255</x:v>
      </x:c>
      <x:c r="H58" s="91" t="n">
        <x:v>0</x:v>
      </x:c>
      <x:c r="I58" s="91" t="n">
        <x:v>137887.7</x:v>
      </x:c>
      <x:c r="J58" s="85" t="str">
        <x:v>High</x:v>
      </x:c>
      <x:c r="K58" s="85" t="str">
        <x:v>8419f5bb-fbc0-4ddb-b4e6-b705c2d13d6c.pdf</x:v>
      </x:c>
    </x:row>
    <x:row r="59">
      <x:c r="A59" s="88" t="n">
        <x:v>46112</x:v>
      </x:c>
      <x:c r="B59" s="85" t="str">
        <x:v>Electronic Debit - *CRS-091414 Whittles</x:v>
      </x:c>
      <x:c r="C59" s="85" t="str">
        <x:v>Management payment</x:v>
      </x:c>
      <x:c r="D59" s="85" t="str">
        <x:v>Debit</x:v>
      </x:c>
      <x:c r="E59" s="85" t="str">
        <x:v>Administrative</x:v>
      </x:c>
      <x:c r="F59" s="85" t="str">
        <x:v>Body corporate management</x:v>
      </x:c>
      <x:c r="G59" s="91" t="n">
        <x:v>930</x:v>
      </x:c>
      <x:c r="H59" s="91" t="n">
        <x:v>0</x:v>
      </x:c>
      <x:c r="I59" s="91" t="n">
        <x:v>136957.7</x:v>
      </x:c>
      <x:c r="J59" s="85" t="str">
        <x:v>High</x:v>
      </x:c>
      <x:c r="K59" s="85" t="str">
        <x:v>8419f5bb-fbc0-4ddb-b4e6-b705c2d13d6c.pdf</x:v>
      </x:c>
    </x:row>
    <x:row r="60">
      <x:c r="A60" s="88" t="n">
        <x:v>46113</x:v>
      </x:c>
      <x:c r="B60" s="85" t="str">
        <x:v>Electronic Debit - *CRS-091937 Whittles</x:v>
      </x:c>
      <x:c r="C60" s="85" t="str">
        <x:v>Management payment</x:v>
      </x:c>
      <x:c r="D60" s="85" t="str">
        <x:v>Debit</x:v>
      </x:c>
      <x:c r="E60" s="85" t="str">
        <x:v>Administrative</x:v>
      </x:c>
      <x:c r="F60" s="85" t="str">
        <x:v>Body corporate management</x:v>
      </x:c>
      <x:c r="G60" s="91" t="n">
        <x:v>266.56</x:v>
      </x:c>
      <x:c r="H60" s="91" t="n">
        <x:v>0</x:v>
      </x:c>
      <x:c r="I60" s="91" t="n">
        <x:v>136691.14</x:v>
      </x:c>
      <x:c r="J60" s="85" t="str">
        <x:v>High</x:v>
      </x:c>
      <x:c r="K60" s="85" t="str">
        <x:v>57e7e5e6-780a-4f4f-b476-9a7accdbf050.pdf</x:v>
      </x:c>
    </x:row>
    <x:row r="61">
      <x:c r="A61" s="88" t="n">
        <x:v>46120</x:v>
      </x:c>
      <x:c r="B61" s="85" t="str">
        <x:v>Electronic Debit - *CRS-BODY57 Body Corp Group</x:v>
      </x:c>
      <x:c r="C61" s="85" t="str">
        <x:v>Supplier payment</x:v>
      </x:c>
      <x:c r="D61" s="85" t="str">
        <x:v>Debit</x:v>
      </x:c>
      <x:c r="E61" s="85" t="str">
        <x:v>Administrative</x:v>
      </x:c>
      <x:c r="F61" s="85" t="str">
        <x:v>Cleaning &amp; grounds</x:v>
      </x:c>
      <x:c r="G61" s="91" t="n">
        <x:v>246.4</x:v>
      </x:c>
      <x:c r="H61" s="91" t="n">
        <x:v>0</x:v>
      </x:c>
      <x:c r="I61" s="91" t="n">
        <x:v>136444.74</x:v>
      </x:c>
      <x:c r="J61" s="85" t="str">
        <x:v>High</x:v>
      </x:c>
      <x:c r="K61" s="85" t="str">
        <x:v>57e7e5e6-780a-4f4f-b476-9a7accdbf050.pdf</x:v>
      </x:c>
    </x:row>
    <x:row r="62">
      <x:c r="A62" s="88" t="n">
        <x:v>46126</x:v>
      </x:c>
      <x:c r="B62" s="85" t="str">
        <x:v>Electronic Debit - *CRS-092426 Whittles</x:v>
      </x:c>
      <x:c r="C62" s="85" t="str">
        <x:v>Management payment</x:v>
      </x:c>
      <x:c r="D62" s="85" t="str">
        <x:v>Debit</x:v>
      </x:c>
      <x:c r="E62" s="85" t="str">
        <x:v>Administrative</x:v>
      </x:c>
      <x:c r="F62" s="85" t="str">
        <x:v>Body corporate management</x:v>
      </x:c>
      <x:c r="G62" s="91" t="n">
        <x:v>99</x:v>
      </x:c>
      <x:c r="H62" s="91" t="n">
        <x:v>0</x:v>
      </x:c>
      <x:c r="I62" s="91" t="n">
        <x:v>136345.74</x:v>
      </x:c>
      <x:c r="J62" s="85" t="str">
        <x:v>High</x:v>
      </x:c>
      <x:c r="K62" s="85" t="str">
        <x:v>57e7e5e6-780a-4f4f-b476-9a7accdbf050.pdf</x:v>
      </x:c>
    </x:row>
    <x:row r="63">
      <x:c r="A63" s="88" t="n">
        <x:v>46127</x:v>
      </x:c>
      <x:c r="B63" s="85" t="str">
        <x:v>Electronic Debit - *CRS-OXLE48 Oxley Gardening</x:v>
      </x:c>
      <x:c r="C63" s="85" t="str">
        <x:v>Supplier payment</x:v>
      </x:c>
      <x:c r="D63" s="85" t="str">
        <x:v>Debit</x:v>
      </x:c>
      <x:c r="E63" s="85" t="str">
        <x:v>Administrative</x:v>
      </x:c>
      <x:c r="F63" s="85" t="str">
        <x:v>Grounds</x:v>
      </x:c>
      <x:c r="G63" s="91" t="n">
        <x:v>255</x:v>
      </x:c>
      <x:c r="H63" s="91" t="n">
        <x:v>0</x:v>
      </x:c>
      <x:c r="I63" s="91" t="n">
        <x:v>136001.82</x:v>
      </x:c>
      <x:c r="J63" s="85" t="str">
        <x:v>High</x:v>
      </x:c>
      <x:c r="K63" s="85" t="str">
        <x:v>57e7e5e6-780a-4f4f-b476-9a7accdbf050.pdf</x:v>
      </x:c>
    </x:row>
    <x:row r="64">
      <x:c r="A64" s="88" t="n">
        <x:v>46127</x:v>
      </x:c>
      <x:c r="B64" s="85" t="str">
        <x:v>Electronic Debit - *CRS-BASP24 BAS Pty Ltd</x:v>
      </x:c>
      <x:c r="C64" s="85" t="str">
        <x:v>Supplier payment</x:v>
      </x:c>
      <x:c r="D64" s="85" t="str">
        <x:v>Debit</x:v>
      </x:c>
      <x:c r="E64" s="85" t="str">
        <x:v>Administrative</x:v>
      </x:c>
      <x:c r="F64" s="85" t="str">
        <x:v>Fire systems</x:v>
      </x:c>
      <x:c r="G64" s="91" t="n">
        <x:v>88.92</x:v>
      </x:c>
      <x:c r="H64" s="91" t="n">
        <x:v>0</x:v>
      </x:c>
      <x:c r="I64" s="91" t="n">
        <x:v>136256.82</x:v>
      </x:c>
      <x:c r="J64" s="85" t="str">
        <x:v>High</x:v>
      </x:c>
      <x:c r="K64" s="85" t="str">
        <x:v>57e7e5e6-780a-4f4f-b476-9a7accdbf050.pdf</x:v>
      </x:c>
    </x:row>
    <x:row r="65">
      <x:c r="A65" s="88" t="n">
        <x:v>46133</x:v>
      </x:c>
      <x:c r="B65" s="85" t="str">
        <x:v>Electronic Debit - *CRS-092563 Whittles</x:v>
      </x:c>
      <x:c r="C65" s="85" t="str">
        <x:v>Management payment</x:v>
      </x:c>
      <x:c r="D65" s="85" t="str">
        <x:v>Debit</x:v>
      </x:c>
      <x:c r="E65" s="85" t="str">
        <x:v>Administrative</x:v>
      </x:c>
      <x:c r="F65" s="85" t="str">
        <x:v>Body corporate management</x:v>
      </x:c>
      <x:c r="G65" s="91" t="n">
        <x:v>110</x:v>
      </x:c>
      <x:c r="H65" s="91" t="n">
        <x:v>0</x:v>
      </x:c>
      <x:c r="I65" s="91" t="n">
        <x:v>135891.82</x:v>
      </x:c>
      <x:c r="J65" s="85" t="str">
        <x:v>High</x:v>
      </x:c>
      <x:c r="K65" s="85" t="str">
        <x:v>57e7e5e6-780a-4f4f-b476-9a7accdbf050.pdf</x:v>
      </x:c>
    </x:row>
    <x:row r="66">
      <x:c r="A66" s="88" t="n">
        <x:v>46141</x:v>
      </x:c>
      <x:c r="B66" s="85" t="str">
        <x:v>Electronic Debit - *CRS-DPXP52 DPX Projects Pty</x:v>
      </x:c>
      <x:c r="C66" s="85" t="str">
        <x:v>Supplier payment</x:v>
      </x:c>
      <x:c r="D66" s="85" t="str">
        <x:v>Debit</x:v>
      </x:c>
      <x:c r="E66" s="85" t="str">
        <x:v>Sinking</x:v>
      </x:c>
      <x:c r="F66" s="85" t="str">
        <x:v>Reports - engineers / project management</x:v>
      </x:c>
      <x:c r="G66" s="91" t="n">
        <x:v>1980</x:v>
      </x:c>
      <x:c r="H66" s="91" t="n">
        <x:v>0</x:v>
      </x:c>
      <x:c r="I66" s="91" t="n">
        <x:v>133911.82</x:v>
      </x:c>
      <x:c r="J66" s="85" t="str">
        <x:v>High</x:v>
      </x:c>
      <x:c r="K66" s="85" t="str">
        <x:v>57e7e5e6-780a-4f4f-b476-9a7accdbf050.pdf</x:v>
      </x:c>
    </x:row>
    <x:row r="67">
      <x:c r="A67" s="88" t="n">
        <x:v>46142</x:v>
      </x:c>
      <x:c r="B67" s="85" t="str">
        <x:v>Electronic Debit - *CRS-092864 Whittles</x:v>
      </x:c>
      <x:c r="C67" s="85" t="str">
        <x:v>Management payment</x:v>
      </x:c>
      <x:c r="D67" s="85" t="str">
        <x:v>Debit</x:v>
      </x:c>
      <x:c r="E67" s="85" t="str">
        <x:v>Administrative</x:v>
      </x:c>
      <x:c r="F67" s="85" t="str">
        <x:v>Body corporate management</x:v>
      </x:c>
      <x:c r="G67" s="91" t="n">
        <x:v>250</x:v>
      </x:c>
      <x:c r="H67" s="91" t="n">
        <x:v>0</x:v>
      </x:c>
      <x:c r="I67" s="91" t="n">
        <x:v>133661.82</x:v>
      </x:c>
      <x:c r="J67" s="85" t="str">
        <x:v>High</x:v>
      </x:c>
      <x:c r="K67" s="85" t="str">
        <x:v>57e7e5e6-780a-4f4f-b476-9a7accdbf050.pdf</x:v>
      </x:c>
    </x:row>
    <x:row r="68">
      <x:c r="A68" s="88" t="n">
        <x:v>46143</x:v>
      </x:c>
      <x:c r="B68" s="85" t="str">
        <x:v>Electronic Debit - *CRS-093277 Whittles</x:v>
      </x:c>
      <x:c r="C68" s="85" t="str">
        <x:v>Management payment</x:v>
      </x:c>
      <x:c r="D68" s="85" t="str">
        <x:v>Debit</x:v>
      </x:c>
      <x:c r="E68" s="85" t="str">
        <x:v>Administrative</x:v>
      </x:c>
      <x:c r="F68" s="85" t="str">
        <x:v>Body corporate management</x:v>
      </x:c>
      <x:c r="G68" s="91" t="n">
        <x:v>371.99</x:v>
      </x:c>
      <x:c r="H68" s="91" t="n">
        <x:v>0</x:v>
      </x:c>
      <x:c r="I68" s="91" t="n">
        <x:v>133289.83</x:v>
      </x:c>
      <x:c r="J68" s="85" t="str">
        <x:v>High</x:v>
      </x:c>
      <x:c r="K68" s="85" t="str">
        <x:v>5e0c8fcb-0c94-4053-b945-203cdba5742f.pdf</x:v>
      </x:c>
    </x:row>
    <x:row r="69">
      <x:c r="A69" s="88" t="n">
        <x:v>46148</x:v>
      </x:c>
      <x:c r="B69" s="85" t="str">
        <x:v>Electronic Debit - *CRS-RIFL93 Rifle Pest Manag</x:v>
      </x:c>
      <x:c r="C69" s="85" t="str">
        <x:v>Supplier payment</x:v>
      </x:c>
      <x:c r="D69" s="85" t="str">
        <x:v>Debit</x:v>
      </x:c>
      <x:c r="E69" s="85" t="str">
        <x:v>Administrative</x:v>
      </x:c>
      <x:c r="F69" s="85" t="str">
        <x:v>Pest control</x:v>
      </x:c>
      <x:c r="G69" s="91" t="n">
        <x:v>1340</x:v>
      </x:c>
      <x:c r="H69" s="91" t="n">
        <x:v>0</x:v>
      </x:c>
      <x:c r="I69" s="91" t="n">
        <x:v>131694.83</x:v>
      </x:c>
      <x:c r="J69" s="85" t="str">
        <x:v>High</x:v>
      </x:c>
      <x:c r="K69" s="85" t="str">
        <x:v>5e0c8fcb-0c94-4053-b945-203cdba5742f.pdf</x:v>
      </x:c>
    </x:row>
    <x:row r="70">
      <x:c r="A70" s="88" t="n">
        <x:v>46148</x:v>
      </x:c>
      <x:c r="B70" s="85" t="str">
        <x:v>Electronic Debit - *CRS-OXLE48 Oxley Gardening</x:v>
      </x:c>
      <x:c r="C70" s="85" t="str">
        <x:v>Supplier payment</x:v>
      </x:c>
      <x:c r="D70" s="85" t="str">
        <x:v>Debit</x:v>
      </x:c>
      <x:c r="E70" s="85" t="str">
        <x:v>Administrative</x:v>
      </x:c>
      <x:c r="F70" s="85" t="str">
        <x:v>Grounds</x:v>
      </x:c>
      <x:c r="G70" s="91" t="n">
        <x:v>255</x:v>
      </x:c>
      <x:c r="H70" s="91" t="n">
        <x:v>0</x:v>
      </x:c>
      <x:c r="I70" s="91" t="n">
        <x:v>133034.83</x:v>
      </x:c>
      <x:c r="J70" s="85" t="str">
        <x:v>High</x:v>
      </x:c>
      <x:c r="K70" s="85" t="str">
        <x:v>5e0c8fcb-0c94-4053-b945-203cdba5742f.pdf</x:v>
      </x:c>
    </x:row>
    <x:row r="71">
      <x:c r="A71" s="88" t="n">
        <x:v>46153</x:v>
      </x:c>
      <x:c r="B71" s="85" t="str">
        <x:v>DEFT Bpay - 0000000005</x:v>
      </x:c>
      <x:c r="C71" s="85" t="str">
        <x:v>Deposit</x:v>
      </x:c>
      <x:c r="D71" s="85" t="str">
        <x:v>Credit</x:v>
      </x:c>
      <x:c r="E71" s="85" t="str">
        <x:v>Unallocated</x:v>
      </x:c>
      <x:c r="F71" s="85" t="str">
        <x:v>Levy receipts / owner funds</x:v>
      </x:c>
      <x:c r="G71" s="91" t="n">
        <x:v>0</x:v>
      </x:c>
      <x:c r="H71" s="91" t="n">
        <x:v>1440</x:v>
      </x:c>
      <x:c r="I71" s="91" t="n">
        <x:v>133134.83</x:v>
      </x:c>
      <x:c r="J71" s="85" t="str">
        <x:v>Needs review</x:v>
      </x:c>
      <x:c r="K71" s="85" t="str">
        <x:v>5e0c8fcb-0c94-4053-b945-203cdba5742f.pdf</x:v>
      </x:c>
    </x:row>
    <x:row r="72">
      <x:c r="A72" s="88" t="n">
        <x:v>46155</x:v>
      </x:c>
      <x:c r="B72" s="85" t="str">
        <x:v>Electronic Debit - *CRS-SAND16 Sandstone Consul</x:v>
      </x:c>
      <x:c r="C72" s="85" t="str">
        <x:v>Supplier payment</x:v>
      </x:c>
      <x:c r="D72" s="85" t="str">
        <x:v>Debit</x:v>
      </x:c>
      <x:c r="E72" s="85" t="str">
        <x:v>Sinking</x:v>
      </x:c>
      <x:c r="F72" s="85" t="str">
        <x:v>Reports - consultancy</x:v>
      </x:c>
      <x:c r="G72" s="91" t="n">
        <x:v>2200</x:v>
      </x:c>
      <x:c r="H72" s="91" t="n">
        <x:v>0</x:v>
      </x:c>
      <x:c r="I72" s="91" t="n">
        <x:v>129725.23</x:v>
      </x:c>
      <x:c r="J72" s="85" t="str">
        <x:v>High</x:v>
      </x:c>
      <x:c r="K72" s="85" t="str">
        <x:v>5e0c8fcb-0c94-4053-b945-203cdba5742f.pdf</x:v>
      </x:c>
    </x:row>
    <x:row r="73">
      <x:c r="A73" s="88" t="n">
        <x:v>46155</x:v>
      </x:c>
      <x:c r="B73" s="85" t="str">
        <x:v>Electronic Debit - *CRS-BODY57 Body Corp Group</x:v>
      </x:c>
      <x:c r="C73" s="85" t="str">
        <x:v>Supplier payment</x:v>
      </x:c>
      <x:c r="D73" s="85" t="str">
        <x:v>Debit</x:v>
      </x:c>
      <x:c r="E73" s="85" t="str">
        <x:v>Administrative</x:v>
      </x:c>
      <x:c r="F73" s="85" t="str">
        <x:v>Cleaning &amp; grounds</x:v>
      </x:c>
      <x:c r="G73" s="91" t="n">
        <x:v>667.7</x:v>
      </x:c>
      <x:c r="H73" s="91" t="n">
        <x:v>0</x:v>
      </x:c>
      <x:c r="I73" s="91" t="n">
        <x:v>131925.23</x:v>
      </x:c>
      <x:c r="J73" s="85" t="str">
        <x:v>High</x:v>
      </x:c>
      <x:c r="K73" s="85" t="str">
        <x:v>5e0c8fcb-0c94-4053-b945-203cdba5742f.pdf</x:v>
      </x:c>
    </x:row>
    <x:row r="74">
      <x:c r="A74" s="88" t="n">
        <x:v>46155</x:v>
      </x:c>
      <x:c r="B74" s="85" t="str">
        <x:v>Electronic Debit - BPay Biller 130112 400000265167 00000371061776 Origin Energy Electricity</x:v>
      </x:c>
      <x:c r="C74" s="85" t="str">
        <x:v>Supplier payment</x:v>
      </x:c>
      <x:c r="D74" s="85" t="str">
        <x:v>Debit</x:v>
      </x:c>
      <x:c r="E74" s="85" t="str">
        <x:v>Administrative</x:v>
      </x:c>
      <x:c r="F74" s="85" t="str">
        <x:v>Utilities - electricity</x:v>
      </x:c>
      <x:c r="G74" s="91" t="n">
        <x:v>365.9</x:v>
      </x:c>
      <x:c r="H74" s="91" t="n">
        <x:v>0</x:v>
      </x:c>
      <x:c r="I74" s="91" t="n">
        <x:v>132592.93</x:v>
      </x:c>
      <x:c r="J74" s="85" t="str">
        <x:v>High</x:v>
      </x:c>
      <x:c r="K74" s="85" t="str">
        <x:v>5e0c8fcb-0c94-4053-b945-203cdba5742f.pdf</x:v>
      </x:c>
    </x:row>
    <x:row r="75">
      <x:c r="A75" s="88" t="n">
        <x:v>46155</x:v>
      </x:c>
      <x:c r="B75" s="85" t="str">
        <x:v>Electronic Debit - *CRS-MGIA01 MGI Adelaide Pty</x:v>
      </x:c>
      <x:c r="C75" s="85" t="str">
        <x:v>Supplier payment</x:v>
      </x:c>
      <x:c r="D75" s="85" t="str">
        <x:v>Debit</x:v>
      </x:c>
      <x:c r="E75" s="85" t="str">
        <x:v>Administrative</x:v>
      </x:c>
      <x:c r="F75" s="85" t="str">
        <x:v>Accounting &amp; audit</x:v>
      </x:c>
      <x:c r="G75" s="91" t="n">
        <x:v>176</x:v>
      </x:c>
      <x:c r="H75" s="91" t="n">
        <x:v>0</x:v>
      </x:c>
      <x:c r="I75" s="91" t="n">
        <x:v>132958.83</x:v>
      </x:c>
      <x:c r="J75" s="85" t="str">
        <x:v>High</x:v>
      </x:c>
      <x:c r="K75" s="85" t="str">
        <x:v>5e0c8fcb-0c94-4053-b945-203cdba5742f.pdf</x:v>
      </x:c>
    </x:row>
    <x:row r="76">
      <x:c r="A76" s="88" t="n">
        <x:v>46156</x:v>
      </x:c>
      <x:c r="B76" s="85" t="str">
        <x:v>DEFT Bpay - 0000000001</x:v>
      </x:c>
      <x:c r="C76" s="85" t="str">
        <x:v>Deposit</x:v>
      </x:c>
      <x:c r="D76" s="85" t="str">
        <x:v>Credit</x:v>
      </x:c>
      <x:c r="E76" s="85" t="str">
        <x:v>Unallocated</x:v>
      </x:c>
      <x:c r="F76" s="85" t="str">
        <x:v>Levy receipts / owner funds</x:v>
      </x:c>
      <x:c r="G76" s="91" t="n">
        <x:v>0</x:v>
      </x:c>
      <x:c r="H76" s="91" t="n">
        <x:v>1440</x:v>
      </x:c>
      <x:c r="I76" s="91" t="n">
        <x:v>131165.23</x:v>
      </x:c>
      <x:c r="J76" s="85" t="str">
        <x:v>Needs review</x:v>
      </x:c>
      <x:c r="K76" s="85" t="str">
        <x:v>5e0c8fcb-0c94-4053-b945-203cdba5742f.pdf</x:v>
      </x:c>
    </x:row>
    <x:row r="77">
      <x:c r="A77" s="88" t="n">
        <x:v>46160</x:v>
      </x:c>
      <x:c r="B77" s="85" t="str">
        <x:v>DEFT Bpay - 0000000004</x:v>
      </x:c>
      <x:c r="C77" s="85" t="str">
        <x:v>Deposit</x:v>
      </x:c>
      <x:c r="D77" s="85" t="str">
        <x:v>Credit</x:v>
      </x:c>
      <x:c r="E77" s="85" t="str">
        <x:v>Unallocated</x:v>
      </x:c>
      <x:c r="F77" s="85" t="str">
        <x:v>Levy receipts / owner funds</x:v>
      </x:c>
      <x:c r="G77" s="91" t="n">
        <x:v>0</x:v>
      </x:c>
      <x:c r="H77" s="91" t="n">
        <x:v>1440</x:v>
      </x:c>
      <x:c r="I77" s="91" t="n">
        <x:v>132605.23</x:v>
      </x:c>
      <x:c r="J77" s="85" t="str">
        <x:v>Needs review</x:v>
      </x:c>
      <x:c r="K77" s="85" t="str">
        <x:v>5e0c8fcb-0c94-4053-b945-203cdba5742f.pdf</x:v>
      </x:c>
    </x:row>
    <x:row r="78">
      <x:c r="A78" s="88" t="n">
        <x:v>46160</x:v>
      </x:c>
      <x:c r="B78" s="85" t="str">
        <x:v>DEFT Bpay - 0000000007</x:v>
      </x:c>
      <x:c r="C78" s="85" t="str">
        <x:v>Deposit</x:v>
      </x:c>
      <x:c r="D78" s="85" t="str">
        <x:v>Credit</x:v>
      </x:c>
      <x:c r="E78" s="85" t="str">
        <x:v>Unallocated</x:v>
      </x:c>
      <x:c r="F78" s="85" t="str">
        <x:v>Levy receipts / owner funds</x:v>
      </x:c>
      <x:c r="G78" s="91" t="n">
        <x:v>0</x:v>
      </x:c>
      <x:c r="H78" s="91" t="n">
        <x:v>1440</x:v>
      </x:c>
      <x:c r="I78" s="91" t="n">
        <x:v>134045.23</x:v>
      </x:c>
      <x:c r="J78" s="85" t="str">
        <x:v>Needs review</x:v>
      </x:c>
      <x:c r="K78" s="85" t="str">
        <x:v>5e0c8fcb-0c94-4053-b945-203cdba5742f.pdf</x:v>
      </x:c>
    </x:row>
    <x:row r="79">
      <x:c r="A79" s="88" t="n">
        <x:v>46161</x:v>
      </x:c>
      <x:c r="B79" s="85" t="str">
        <x:v>DEFT Bpay - 0000000010</x:v>
      </x:c>
      <x:c r="C79" s="85" t="str">
        <x:v>Deposit</x:v>
      </x:c>
      <x:c r="D79" s="85" t="str">
        <x:v>Credit</x:v>
      </x:c>
      <x:c r="E79" s="85" t="str">
        <x:v>Unallocated</x:v>
      </x:c>
      <x:c r="F79" s="85" t="str">
        <x:v>Levy receipts / owner funds</x:v>
      </x:c>
      <x:c r="G79" s="91" t="n">
        <x:v>0</x:v>
      </x:c>
      <x:c r="H79" s="91" t="n">
        <x:v>1440</x:v>
      </x:c>
      <x:c r="I79" s="91" t="n">
        <x:v>135485.23</x:v>
      </x:c>
      <x:c r="J79" s="85" t="str">
        <x:v>Needs review</x:v>
      </x:c>
      <x:c r="K79" s="85" t="str">
        <x:v>5e0c8fcb-0c94-4053-b945-203cdba5742f.pdf</x:v>
      </x:c>
    </x:row>
    <x:row r="80">
      <x:c r="A80" s="88" t="n">
        <x:v>46161</x:v>
      </x:c>
      <x:c r="B80" s="85" t="str">
        <x:v>DEFT Bpay - 0000000006</x:v>
      </x:c>
      <x:c r="C80" s="85" t="str">
        <x:v>Deposit</x:v>
      </x:c>
      <x:c r="D80" s="85" t="str">
        <x:v>Credit</x:v>
      </x:c>
      <x:c r="E80" s="85" t="str">
        <x:v>Unallocated</x:v>
      </x:c>
      <x:c r="F80" s="85" t="str">
        <x:v>Levy receipts / owner funds</x:v>
      </x:c>
      <x:c r="G80" s="91" t="n">
        <x:v>0</x:v>
      </x:c>
      <x:c r="H80" s="91" t="n">
        <x:v>1440</x:v>
      </x:c>
      <x:c r="I80" s="91" t="n">
        <x:v>136925.23</x:v>
      </x:c>
      <x:c r="J80" s="85" t="str">
        <x:v>Needs review</x:v>
      </x:c>
      <x:c r="K80" s="85" t="str">
        <x:v>5e0c8fcb-0c94-4053-b945-203cdba5742f.pdf</x:v>
      </x:c>
    </x:row>
    <x:row r="81">
      <x:c r="A81" s="88" t="n">
        <x:v>46162</x:v>
      </x:c>
      <x:c r="B81" s="85" t="str">
        <x:v>DEFT I/Tfr - 0000000008</x:v>
      </x:c>
      <x:c r="C81" s="85" t="str">
        <x:v>Deposit</x:v>
      </x:c>
      <x:c r="D81" s="85" t="str">
        <x:v>Credit</x:v>
      </x:c>
      <x:c r="E81" s="85" t="str">
        <x:v>Unallocated</x:v>
      </x:c>
      <x:c r="F81" s="85" t="str">
        <x:v>Levy receipts / owner funds</x:v>
      </x:c>
      <x:c r="G81" s="91" t="n">
        <x:v>0</x:v>
      </x:c>
      <x:c r="H81" s="91" t="n">
        <x:v>1440</x:v>
      </x:c>
      <x:c r="I81" s="91" t="n">
        <x:v>138365.23</x:v>
      </x:c>
      <x:c r="J81" s="85" t="str">
        <x:v>Needs review</x:v>
      </x:c>
      <x:c r="K81" s="85" t="str">
        <x:v>5e0c8fcb-0c94-4053-b945-203cdba5742f.pdf</x:v>
      </x:c>
    </x:row>
    <x:row r="82">
      <x:c r="A82" s="88" t="n">
        <x:v>46162</x:v>
      </x:c>
      <x:c r="B82" s="85" t="str">
        <x:v>Electronic Debit - *CRS-OXLE48 Oxley Gardening</x:v>
      </x:c>
      <x:c r="C82" s="85" t="str">
        <x:v>Supplier payment</x:v>
      </x:c>
      <x:c r="D82" s="85" t="str">
        <x:v>Debit</x:v>
      </x:c>
      <x:c r="E82" s="85" t="str">
        <x:v>Administrative</x:v>
      </x:c>
      <x:c r="F82" s="85" t="str">
        <x:v>Grounds</x:v>
      </x:c>
      <x:c r="G82" s="91" t="n">
        <x:v>255</x:v>
      </x:c>
      <x:c r="H82" s="91" t="n">
        <x:v>0</x:v>
      </x:c>
      <x:c r="I82" s="91" t="n">
        <x:v>139366.31</x:v>
      </x:c>
      <x:c r="J82" s="85" t="str">
        <x:v>High</x:v>
      </x:c>
      <x:c r="K82" s="85" t="str">
        <x:v>5e0c8fcb-0c94-4053-b945-203cdba5742f.pdf</x:v>
      </x:c>
    </x:row>
    <x:row r="83">
      <x:c r="A83" s="88" t="n">
        <x:v>46162</x:v>
      </x:c>
      <x:c r="B83" s="85" t="str">
        <x:v>Electronic Debit - *CRS-RIFL93 Rifle Pest Manag</x:v>
      </x:c>
      <x:c r="C83" s="85" t="str">
        <x:v>Supplier payment</x:v>
      </x:c>
      <x:c r="D83" s="85" t="str">
        <x:v>Debit</x:v>
      </x:c>
      <x:c r="E83" s="85" t="str">
        <x:v>Administrative</x:v>
      </x:c>
      <x:c r="F83" s="85" t="str">
        <x:v>Pest control</x:v>
      </x:c>
      <x:c r="G83" s="91" t="n">
        <x:v>95</x:v>
      </x:c>
      <x:c r="H83" s="91" t="n">
        <x:v>0</x:v>
      </x:c>
      <x:c r="I83" s="91" t="n">
        <x:v>139621.31</x:v>
      </x:c>
      <x:c r="J83" s="85" t="str">
        <x:v>High</x:v>
      </x:c>
      <x:c r="K83" s="85" t="str">
        <x:v>5e0c8fcb-0c94-4053-b945-203cdba5742f.pdf</x:v>
      </x:c>
    </x:row>
    <x:row r="84">
      <x:c r="A84" s="88" t="n">
        <x:v>46162</x:v>
      </x:c>
      <x:c r="B84" s="85" t="str">
        <x:v>Electronic Debit - *CRS-BASP24 BAS Pty Ltd</x:v>
      </x:c>
      <x:c r="C84" s="85" t="str">
        <x:v>Supplier payment</x:v>
      </x:c>
      <x:c r="D84" s="85" t="str">
        <x:v>Debit</x:v>
      </x:c>
      <x:c r="E84" s="85" t="str">
        <x:v>Administrative</x:v>
      </x:c>
      <x:c r="F84" s="85" t="str">
        <x:v>Fire systems</x:v>
      </x:c>
      <x:c r="G84" s="91" t="n">
        <x:v>88.92</x:v>
      </x:c>
      <x:c r="H84" s="91" t="n">
        <x:v>0</x:v>
      </x:c>
      <x:c r="I84" s="91" t="n">
        <x:v>139716.31</x:v>
      </x:c>
      <x:c r="J84" s="85" t="str">
        <x:v>High</x:v>
      </x:c>
      <x:c r="K84" s="85" t="str">
        <x:v>5e0c8fcb-0c94-4053-b945-203cdba5742f.pdf</x:v>
      </x:c>
    </x:row>
    <x:row r="85">
      <x:c r="A85" s="88" t="n">
        <x:v>46162</x:v>
      </x:c>
      <x:c r="B85" s="85" t="str">
        <x:v>DEFT I/CCd - MD 0000000002</x:v>
      </x:c>
      <x:c r="C85" s="85" t="str">
        <x:v>Deposit</x:v>
      </x:c>
      <x:c r="D85" s="85" t="str">
        <x:v>Credit</x:v>
      </x:c>
      <x:c r="E85" s="85" t="str">
        <x:v>Unallocated</x:v>
      </x:c>
      <x:c r="F85" s="85" t="str">
        <x:v>Levy receipts / owner funds</x:v>
      </x:c>
      <x:c r="G85" s="91" t="n">
        <x:v>0</x:v>
      </x:c>
      <x:c r="H85" s="91" t="n">
        <x:v>1440</x:v>
      </x:c>
      <x:c r="I85" s="91" t="n">
        <x:v>139805.23</x:v>
      </x:c>
      <x:c r="J85" s="85" t="str">
        <x:v>Needs review</x:v>
      </x:c>
      <x:c r="K85" s="85" t="str">
        <x:v>5e0c8fcb-0c94-4053-b945-203cdba5742f.pdf</x:v>
      </x:c>
    </x:row>
    <x:row r="86">
      <x:c r="A86" s="88" t="n">
        <x:v>46167</x:v>
      </x:c>
      <x:c r="B86" s="85" t="str">
        <x:v>DEFT Bpay - 0000000005</x:v>
      </x:c>
      <x:c r="C86" s="85" t="str">
        <x:v>Deposit</x:v>
      </x:c>
      <x:c r="D86" s="85" t="str">
        <x:v>Credit</x:v>
      </x:c>
      <x:c r="E86" s="85" t="str">
        <x:v>Unallocated</x:v>
      </x:c>
      <x:c r="F86" s="85" t="str">
        <x:v>Levy receipts / owner funds</x:v>
      </x:c>
      <x:c r="G86" s="91" t="n">
        <x:v>0</x:v>
      </x:c>
      <x:c r="H86" s="91" t="n">
        <x:v>1440</x:v>
      </x:c>
      <x:c r="I86" s="91" t="n">
        <x:v>140806.31</x:v>
      </x:c>
      <x:c r="J86" s="85" t="str">
        <x:v>Needs review</x:v>
      </x:c>
      <x:c r="K86" s="85" t="str">
        <x:v>5e0c8fcb-0c94-4053-b945-203cdba5742f.pdf</x:v>
      </x:c>
    </x:row>
    <x:row r="87">
      <x:c r="A87" s="88" t="n">
        <x:v>46169</x:v>
      </x:c>
      <x:c r="B87" s="85" t="str">
        <x:v>Electronic Debit - *CRS-HOFF09 Hoffy's Garage D</x:v>
      </x:c>
      <x:c r="C87" s="85" t="str">
        <x:v>Supplier payment</x:v>
      </x:c>
      <x:c r="D87" s="85" t="str">
        <x:v>Debit</x:v>
      </x:c>
      <x:c r="E87" s="85" t="str">
        <x:v>Sinking</x:v>
      </x:c>
      <x:c r="F87" s="85" t="str">
        <x:v>Garage - capital repair</x:v>
      </x:c>
      <x:c r="G87" s="91" t="n">
        <x:v>1248.5</x:v>
      </x:c>
      <x:c r="H87" s="91" t="n">
        <x:v>0</x:v>
      </x:c>
      <x:c r="I87" s="91" t="n">
        <x:v>139557.81</x:v>
      </x:c>
      <x:c r="J87" s="85" t="str">
        <x:v>High</x:v>
      </x:c>
      <x:c r="K87" s="85" t="str">
        <x:v>5e0c8fcb-0c94-4053-b945-203cdba5742f.pdf</x:v>
      </x:c>
    </x:row>
    <x:row r="88">
      <x:c r="A88" s="88" t="n">
        <x:v>46174</x:v>
      </x:c>
      <x:c r="B88" s="85" t="str">
        <x:v>Electronic Debit - *CRS-094505 Whittles</x:v>
      </x:c>
      <x:c r="C88" s="85" t="str">
        <x:v>Management payment</x:v>
      </x:c>
      <x:c r="D88" s="85" t="str">
        <x:v>Debit</x:v>
      </x:c>
      <x:c r="E88" s="85" t="str">
        <x:v>Administrative</x:v>
      </x:c>
      <x:c r="F88" s="85" t="str">
        <x:v>Body corporate management</x:v>
      </x:c>
      <x:c r="G88" s="91" t="n">
        <x:v>371.99</x:v>
      </x:c>
      <x:c r="H88" s="91" t="n">
        <x:v>0</x:v>
      </x:c>
      <x:c r="I88" s="91" t="n">
        <x:v>139060.82</x:v>
      </x:c>
      <x:c r="J88" s="85" t="str">
        <x:v>High</x:v>
      </x:c>
      <x:c r="K88" s="85" t="str">
        <x:v>6bf75ac6-5881-4f94-af09-ffda84ddc1c4.pdf</x:v>
      </x:c>
    </x:row>
    <x:row r="89">
      <x:c r="A89" s="88" t="n">
        <x:v>46174</x:v>
      </x:c>
      <x:c r="B89" s="85" t="str">
        <x:v>Electronic Debit - *CRS-094778 Whittles</x:v>
      </x:c>
      <x:c r="C89" s="85" t="str">
        <x:v>Management payment</x:v>
      </x:c>
      <x:c r="D89" s="85" t="str">
        <x:v>Debit</x:v>
      </x:c>
      <x:c r="E89" s="85" t="str">
        <x:v>Administrative</x:v>
      </x:c>
      <x:c r="F89" s="85" t="str">
        <x:v>Body corporate management</x:v>
      </x:c>
      <x:c r="G89" s="91" t="n">
        <x:v>125</x:v>
      </x:c>
      <x:c r="H89" s="91" t="n">
        <x:v>0</x:v>
      </x:c>
      <x:c r="I89" s="91" t="n">
        <x:v>139432.81</x:v>
      </x:c>
      <x:c r="J89" s="85" t="str">
        <x:v>High</x:v>
      </x:c>
      <x:c r="K89" s="85" t="str">
        <x:v>6bf75ac6-5881-4f94-af09-ffda84ddc1c4.pdf</x:v>
      </x:c>
    </x:row>
    <x:row r="90">
      <x:c r="A90" s="88" t="n">
        <x:v>46176</x:v>
      </x:c>
      <x:c r="B90" s="85" t="str">
        <x:v>Electronic Debit - *CRS-BODY57 Body Corp Group</x:v>
      </x:c>
      <x:c r="C90" s="85" t="str">
        <x:v>Supplier payment</x:v>
      </x:c>
      <x:c r="D90" s="85" t="str">
        <x:v>Debit</x:v>
      </x:c>
      <x:c r="E90" s="85" t="str">
        <x:v>Administrative</x:v>
      </x:c>
      <x:c r="F90" s="85" t="str">
        <x:v>Cleaning &amp; grounds</x:v>
      </x:c>
      <x:c r="G90" s="91" t="n">
        <x:v>547.8</x:v>
      </x:c>
      <x:c r="H90" s="91" t="n">
        <x:v>0</x:v>
      </x:c>
      <x:c r="I90" s="91" t="n">
        <x:v>138513.02</x:v>
      </x:c>
      <x:c r="J90" s="85" t="str">
        <x:v>High</x:v>
      </x:c>
      <x:c r="K90" s="85" t="str">
        <x:v>6bf75ac6-5881-4f94-af09-ffda84ddc1c4.pdf</x:v>
      </x:c>
    </x:row>
    <x:row r="91">
      <x:c r="A91" s="88" t="n">
        <x:v>46185</x:v>
      </x:c>
      <x:c r="B91" s="85" t="str">
        <x:v>DEFT Bpay - 0000000011</x:v>
      </x:c>
      <x:c r="C91" s="85" t="str">
        <x:v>Deposit</x:v>
      </x:c>
      <x:c r="D91" s="85" t="str">
        <x:v>Credit</x:v>
      </x:c>
      <x:c r="E91" s="85" t="str">
        <x:v>Unallocated</x:v>
      </x:c>
      <x:c r="F91" s="85" t="str">
        <x:v>Levy receipts / owner funds</x:v>
      </x:c>
      <x:c r="G91" s="91" t="n">
        <x:v>0</x:v>
      </x:c>
      <x:c r="H91" s="91" t="n">
        <x:v>2880</x:v>
      </x:c>
      <x:c r="I91" s="91" t="n">
        <x:v>141393.02</x:v>
      </x:c>
      <x:c r="J91" s="85" t="str">
        <x:v>Needs review</x:v>
      </x:c>
      <x:c r="K91" s="85" t="str">
        <x:v>6bf75ac6-5881-4f94-af09-ffda84ddc1c4.pdf</x:v>
      </x:c>
    </x:row>
    <x:row r="92">
      <x:c r="A92" s="88" t="n">
        <x:v>46189</x:v>
      </x:c>
      <x:c r="B92" s="85" t="str">
        <x:v>Electronic Debit - *CRS-094896 Whittles</x:v>
      </x:c>
      <x:c r="C92" s="85" t="str">
        <x:v>Management payment</x:v>
      </x:c>
      <x:c r="D92" s="85" t="str">
        <x:v>Debit</x:v>
      </x:c>
      <x:c r="E92" s="85" t="str">
        <x:v>Administrative</x:v>
      </x:c>
      <x:c r="F92" s="85" t="str">
        <x:v>Body corporate management</x:v>
      </x:c>
      <x:c r="G92" s="91" t="n">
        <x:v>44</x:v>
      </x:c>
      <x:c r="H92" s="91" t="n">
        <x:v>0</x:v>
      </x:c>
      <x:c r="I92" s="91" t="n">
        <x:v>141349.02</x:v>
      </x:c>
      <x:c r="J92" s="85" t="str">
        <x:v>High</x:v>
      </x:c>
      <x:c r="K92" s="85" t="str">
        <x:v>6bf75ac6-5881-4f94-af09-ffda84ddc1c4.pdf</x:v>
      </x:c>
    </x:row>
    <x:row r="93">
      <x:c r="A93" s="88" t="n">
        <x:v>46190</x:v>
      </x:c>
      <x:c r="B93" s="85" t="str">
        <x:v>Electronic Debit - *CRS-DPXP52 DPX Projects Pty</x:v>
      </x:c>
      <x:c r="C93" s="85" t="str">
        <x:v>Supplier payment</x:v>
      </x:c>
      <x:c r="D93" s="85" t="str">
        <x:v>Debit</x:v>
      </x:c>
      <x:c r="E93" s="85" t="str">
        <x:v>Sinking</x:v>
      </x:c>
      <x:c r="F93" s="85" t="str">
        <x:v>Reports - engineers / project management</x:v>
      </x:c>
      <x:c r="G93" s="91" t="n">
        <x:v>1980</x:v>
      </x:c>
      <x:c r="H93" s="91" t="n">
        <x:v>0</x:v>
      </x:c>
      <x:c r="I93" s="91" t="n">
        <x:v>142520.1</x:v>
      </x:c>
      <x:c r="J93" s="85" t="str">
        <x:v>High</x:v>
      </x:c>
      <x:c r="K93" s="85" t="str">
        <x:v>6bf75ac6-5881-4f94-af09-ffda84ddc1c4.pdf</x:v>
      </x:c>
    </x:row>
    <x:row r="94">
      <x:c r="A94" s="88" t="n">
        <x:v>46190</x:v>
      </x:c>
      <x:c r="B94" s="85" t="str">
        <x:v>DEFT Bpay - 0000000007</x:v>
      </x:c>
      <x:c r="C94" s="85" t="str">
        <x:v>Deposit</x:v>
      </x:c>
      <x:c r="D94" s="85" t="str">
        <x:v>Credit</x:v>
      </x:c>
      <x:c r="E94" s="85" t="str">
        <x:v>Unallocated</x:v>
      </x:c>
      <x:c r="F94" s="85" t="str">
        <x:v>Levy receipts / owner funds</x:v>
      </x:c>
      <x:c r="G94" s="91" t="n">
        <x:v>0</x:v>
      </x:c>
      <x:c r="H94" s="91" t="n">
        <x:v>1440</x:v>
      </x:c>
      <x:c r="I94" s="91" t="n">
        <x:v>142789.02</x:v>
      </x:c>
      <x:c r="J94" s="85" t="str">
        <x:v>Needs review</x:v>
      </x:c>
      <x:c r="K94" s="85" t="str">
        <x:v>6bf75ac6-5881-4f94-af09-ffda84ddc1c4.pdf</x:v>
      </x:c>
    </x:row>
    <x:row r="95">
      <x:c r="A95" s="88" t="n">
        <x:v>46190</x:v>
      </x:c>
      <x:c r="B95" s="85" t="str">
        <x:v>Electronic Debit - *CRS-BASP24 BAS Pty Ltd</x:v>
      </x:c>
      <x:c r="C95" s="85" t="str">
        <x:v>Supplier payment</x:v>
      </x:c>
      <x:c r="D95" s="85" t="str">
        <x:v>Debit</x:v>
      </x:c>
      <x:c r="E95" s="85" t="str">
        <x:v>Administrative</x:v>
      </x:c>
      <x:c r="F95" s="85" t="str">
        <x:v>Fire systems</x:v>
      </x:c>
      <x:c r="G95" s="91" t="n">
        <x:v>88.92</x:v>
      </x:c>
      <x:c r="H95" s="91" t="n">
        <x:v>0</x:v>
      </x:c>
      <x:c r="I95" s="91" t="n">
        <x:v>144500.1</x:v>
      </x:c>
      <x:c r="J95" s="85" t="str">
        <x:v>High</x:v>
      </x:c>
      <x:c r="K95" s="85" t="str">
        <x:v>6bf75ac6-5881-4f94-af09-ffda84ddc1c4.pdf</x:v>
      </x:c>
    </x:row>
    <x:row r="96">
      <x:c r="A96" s="88" t="n">
        <x:v>46190</x:v>
      </x:c>
      <x:c r="B96" s="85" t="str">
        <x:v>DEFT Bpay - 0000000003</x:v>
      </x:c>
      <x:c r="C96" s="85" t="str">
        <x:v>Deposit</x:v>
      </x:c>
      <x:c r="D96" s="85" t="str">
        <x:v>Credit</x:v>
      </x:c>
      <x:c r="E96" s="85" t="str">
        <x:v>Unallocated</x:v>
      </x:c>
      <x:c r="F96" s="85" t="str">
        <x:v>Levy receipts / owner funds</x:v>
      </x:c>
      <x:c r="G96" s="91" t="n">
        <x:v>0</x:v>
      </x:c>
      <x:c r="H96" s="91" t="n">
        <x:v>1800</x:v>
      </x:c>
      <x:c r="I96" s="91" t="n">
        <x:v>144589.02</x:v>
      </x:c>
      <x:c r="J96" s="85" t="str">
        <x:v>Needs review</x:v>
      </x:c>
      <x:c r="K96" s="85" t="str">
        <x:v>6bf75ac6-5881-4f94-af09-ffda84ddc1c4.pdf</x:v>
      </x:c>
    </x:row>
    <x:row r="97">
      <x:c r="A97" s="88" t="n">
        <x:v>46191</x:v>
      </x:c>
      <x:c r="B97" s="85" t="str">
        <x:v>DEFT Bpay - 0000000009</x:v>
      </x:c>
      <x:c r="C97" s="85" t="str">
        <x:v>Deposit</x:v>
      </x:c>
      <x:c r="D97" s="85" t="str">
        <x:v>Credit</x:v>
      </x:c>
      <x:c r="E97" s="85" t="str">
        <x:v>Unallocated</x:v>
      </x:c>
      <x:c r="F97" s="85" t="str">
        <x:v>Levy receipts / owner funds</x:v>
      </x:c>
      <x:c r="G97" s="91" t="n">
        <x:v>0</x:v>
      </x:c>
      <x:c r="H97" s="91" t="n">
        <x:v>1429.08</x:v>
      </x:c>
      <x:c r="I97" s="91" t="n">
        <x:v>143949.18</x:v>
      </x:c>
      <x:c r="J97" s="85" t="str">
        <x:v>Needs review</x:v>
      </x:c>
      <x:c r="K97" s="85" t="str">
        <x:v>6bf75ac6-5881-4f94-af09-ffda84ddc1c4.pdf</x:v>
      </x:c>
    </x:row>
    <x:row r="98">
      <x:c r="A98" s="88" t="n">
        <x:v>46197</x:v>
      </x:c>
      <x:c r="B98" s="85" t="str">
        <x:v>Electronic Debit - *CRS-BASP24 BAS Pty Ltd</x:v>
      </x:c>
      <x:c r="C98" s="85" t="str">
        <x:v>Supplier payment</x:v>
      </x:c>
      <x:c r="D98" s="85" t="str">
        <x:v>Debit</x:v>
      </x:c>
      <x:c r="E98" s="85" t="str">
        <x:v>Administrative</x:v>
      </x:c>
      <x:c r="F98" s="85" t="str">
        <x:v>Fire systems</x:v>
      </x:c>
      <x:c r="G98" s="91" t="n">
        <x:v>110</x:v>
      </x:c>
      <x:c r="H98" s="91" t="n">
        <x:v>0</x:v>
      </x:c>
      <x:c r="I98" s="91" t="n">
        <x:v>145279.18</x:v>
      </x:c>
      <x:c r="J98" s="85" t="str">
        <x:v>High</x:v>
      </x:c>
      <x:c r="K98" s="85" t="str">
        <x:v>6bf75ac6-5881-4f94-af09-ffda84ddc1c4.pdf</x:v>
      </x:c>
    </x:row>
    <x:row r="99">
      <x:c r="A99" s="88" t="n">
        <x:v>46197</x:v>
      </x:c>
      <x:c r="B99" s="85" t="str">
        <x:v>DEFT Bpay - 0000000001</x:v>
      </x:c>
      <x:c r="C99" s="85" t="str">
        <x:v>Deposit</x:v>
      </x:c>
      <x:c r="D99" s="85" t="str">
        <x:v>Credit</x:v>
      </x:c>
      <x:c r="E99" s="85" t="str">
        <x:v>Unallocated</x:v>
      </x:c>
      <x:c r="F99" s="85" t="str">
        <x:v>Levy receipts / owner funds</x:v>
      </x:c>
      <x:c r="G99" s="91" t="n">
        <x:v>0</x:v>
      </x:c>
      <x:c r="H99" s="91" t="n">
        <x:v>1440</x:v>
      </x:c>
      <x:c r="I99" s="91" t="n">
        <x:v>145389.18</x:v>
      </x:c>
      <x:c r="J99" s="85" t="str">
        <x:v>Needs review</x:v>
      </x:c>
      <x:c r="K99" s="85" t="str">
        <x:v>6bf75ac6-5881-4f94-af09-ffda84ddc1c4.pdf</x:v>
      </x:c>
    </x:row>
    <x:row r="100">
      <x:c r="A100" s="88" t="n">
        <x:v>46202</x:v>
      </x:c>
      <x:c r="B100" s="85" t="str">
        <x:v>DEFT Bpay - 0000000006</x:v>
      </x:c>
      <x:c r="C100" s="85" t="str">
        <x:v>Deposit</x:v>
      </x:c>
      <x:c r="D100" s="85" t="str">
        <x:v>Credit</x:v>
      </x:c>
      <x:c r="E100" s="85" t="str">
        <x:v>Unallocated</x:v>
      </x:c>
      <x:c r="F100" s="85" t="str">
        <x:v>Levy receipts / owner funds</x:v>
      </x:c>
      <x:c r="G100" s="91" t="n">
        <x:v>0</x:v>
      </x:c>
      <x:c r="H100" s="91" t="n">
        <x:v>1440</x:v>
      </x:c>
      <x:c r="I100" s="91" t="n">
        <x:v>146719.18</x:v>
      </x:c>
      <x:c r="J100" s="85" t="str">
        <x:v>Needs review</x:v>
      </x:c>
      <x:c r="K100" s="85" t="str">
        <x:v>6bf75ac6-5881-4f94-af09-ffda84ddc1c4.pdf</x:v>
      </x:c>
    </x:row>
    <x:row r="101">
      <x:c r="A101" s="88" t="n">
        <x:v>46203</x:v>
      </x:c>
      <x:c r="B101" s="85" t="str">
        <x:v>Electronic Debit - *CRS-095350 Whittles</x:v>
      </x:c>
      <x:c r="C101" s="85" t="str">
        <x:v>Management payment</x:v>
      </x:c>
      <x:c r="D101" s="85" t="str">
        <x:v>Debit</x:v>
      </x:c>
      <x:c r="E101" s="85" t="str">
        <x:v>Administrative</x:v>
      </x:c>
      <x:c r="F101" s="85" t="str">
        <x:v>Body corporate management</x:v>
      </x:c>
      <x:c r="G101" s="91" t="n">
        <x:v>375</x:v>
      </x:c>
      <x:c r="H101" s="91" t="n">
        <x:v>0</x:v>
      </x:c>
      <x:c r="I101" s="91" t="n">
        <x:v>147784.18</x:v>
      </x:c>
      <x:c r="J101" s="85" t="str">
        <x:v>High</x:v>
      </x:c>
      <x:c r="K101" s="85" t="str">
        <x:v>6bf75ac6-5881-4f94-af09-ffda84ddc1c4.pdf</x:v>
      </x:c>
    </x:row>
    <x:row r="102">
      <x:c r="A102" s="88" t="n">
        <x:v>46203</x:v>
      </x:c>
      <x:c r="B102" s="85" t="str">
        <x:v>DEFT Bpay - 0000000003</x:v>
      </x:c>
      <x:c r="C102" s="85" t="str">
        <x:v>Deposit</x:v>
      </x:c>
      <x:c r="D102" s="85" t="str">
        <x:v>Credit</x:v>
      </x:c>
      <x:c r="E102" s="85" t="str">
        <x:v>Unallocated</x:v>
      </x:c>
      <x:c r="F102" s="85" t="str">
        <x:v>Levy receipts / owner funds</x:v>
      </x:c>
      <x:c r="G102" s="91" t="n">
        <x:v>0</x:v>
      </x:c>
      <x:c r="H102" s="91" t="n">
        <x:v>1440</x:v>
      </x:c>
      <x:c r="I102" s="91" t="n">
        <x:v>148159.18</x:v>
      </x:c>
      <x:c r="J102" s="85" t="str">
        <x:v>Needs review</x:v>
      </x:c>
      <x:c r="K102" s="85" t="str">
        <x:v>6bf75ac6-5881-4f94-af09-ffda84ddc1c4.pdf</x:v>
      </x:c>
    </x:row>
    <x:row r="103">
      <x:c r="A103" s="88" t="n">
        <x:v>46204</x:v>
      </x:c>
      <x:c r="B103" s="85" t="str">
        <x:v>DEFT I/CCd - MD 0000000002</x:v>
      </x:c>
      <x:c r="C103" s="85" t="str">
        <x:v>Deposit</x:v>
      </x:c>
      <x:c r="D103" s="85" t="str">
        <x:v>Credit</x:v>
      </x:c>
      <x:c r="E103" s="85" t="str">
        <x:v>Unallocated</x:v>
      </x:c>
      <x:c r="F103" s="85" t="str">
        <x:v>Levy receipts / owner funds</x:v>
      </x:c>
      <x:c r="G103" s="91" t="n">
        <x:v>0</x:v>
      </x:c>
      <x:c r="H103" s="91" t="n">
        <x:v>1440</x:v>
      </x:c>
      <x:c r="I103" s="91" t="n">
        <x:v>149224.18</x:v>
      </x:c>
      <x:c r="J103" s="85" t="str">
        <x:v>Needs review</x:v>
      </x:c>
      <x:c r="K103" s="85" t="str">
        <x:v>02c86cbb-db67-40f8-b552-8f70c45385aa.pdf</x:v>
      </x:c>
    </x:row>
    <x:row r="104">
      <x:c r="A104" s="88" t="n">
        <x:v>46204</x:v>
      </x:c>
      <x:c r="B104" s="85" t="str">
        <x:v>DEFT I/Tfr - 0000000008</x:v>
      </x:c>
      <x:c r="C104" s="85" t="str">
        <x:v>Deposit</x:v>
      </x:c>
      <x:c r="D104" s="85" t="str">
        <x:v>Credit</x:v>
      </x:c>
      <x:c r="E104" s="85" t="str">
        <x:v>Unallocated</x:v>
      </x:c>
      <x:c r="F104" s="85" t="str">
        <x:v>Levy receipts / owner funds</x:v>
      </x:c>
      <x:c r="G104" s="91" t="n">
        <x:v>0</x:v>
      </x:c>
      <x:c r="H104" s="91" t="n">
        <x:v>1440</x:v>
      </x:c>
      <x:c r="I104" s="91" t="n">
        <x:v>150664.18</x:v>
      </x:c>
      <x:c r="J104" s="85" t="str">
        <x:v>Needs review</x:v>
      </x:c>
      <x:c r="K104" s="85" t="str">
        <x:v>02c86cbb-db67-40f8-b552-8f70c45385aa.pdf</x:v>
      </x:c>
    </x:row>
    <x:row r="105">
      <x:c r="A105" s="88" t="n">
        <x:v>46204</x:v>
      </x:c>
      <x:c r="B105" s="85" t="str">
        <x:v>Electronic Debit - *CRS-095885 Whittles</x:v>
      </x:c>
      <x:c r="C105" s="85" t="str">
        <x:v>Management payment</x:v>
      </x:c>
      <x:c r="D105" s="85" t="str">
        <x:v>Debit</x:v>
      </x:c>
      <x:c r="E105" s="85" t="str">
        <x:v>Administrative</x:v>
      </x:c>
      <x:c r="F105" s="85" t="str">
        <x:v>Body corporate management</x:v>
      </x:c>
      <x:c r="G105" s="91" t="n">
        <x:v>371.99</x:v>
      </x:c>
      <x:c r="H105" s="91" t="n">
        <x:v>0</x:v>
      </x:c>
      <x:c r="I105" s="91" t="n">
        <x:v>151732.19</x:v>
      </x:c>
      <x:c r="J105" s="85" t="str">
        <x:v>High</x:v>
      </x:c>
      <x:c r="K105" s="85" t="str">
        <x:v>02c86cbb-db67-40f8-b552-8f70c45385aa.pdf</x:v>
      </x:c>
    </x:row>
    <x:row r="106">
      <x:c r="A106" s="88" t="n">
        <x:v>46204</x:v>
      </x:c>
      <x:c r="B106" s="85" t="str">
        <x:v>DEFT Bpay - 0000000004</x:v>
      </x:c>
      <x:c r="C106" s="85" t="str">
        <x:v>Deposit</x:v>
      </x:c>
      <x:c r="D106" s="85" t="str">
        <x:v>Credit</x:v>
      </x:c>
      <x:c r="E106" s="85" t="str">
        <x:v>Unallocated</x:v>
      </x:c>
      <x:c r="F106" s="85" t="str">
        <x:v>Levy receipts / owner funds</x:v>
      </x:c>
      <x:c r="G106" s="91" t="n">
        <x:v>0</x:v>
      </x:c>
      <x:c r="H106" s="91" t="n">
        <x:v>1440</x:v>
      </x:c>
      <x:c r="I106" s="91" t="n">
        <x:v>152104.18</x:v>
      </x:c>
      <x:c r="J106" s="85" t="str">
        <x:v>Needs review</x:v>
      </x:c>
      <x:c r="K106" s="85" t="str">
        <x:v>02c86cbb-db67-40f8-b552-8f70c45385aa.pdf</x:v>
      </x:c>
    </x:row>
    <x:row r="107">
      <x:c r="A107" s="88" t="n">
        <x:v>46210</x:v>
      </x:c>
      <x:c r="B107" s="85" t="str">
        <x:v>Electronic Debit - *CRS-096314 Whittles</x:v>
      </x:c>
      <x:c r="C107" s="85" t="str">
        <x:v>Management payment</x:v>
      </x:c>
      <x:c r="D107" s="85" t="str">
        <x:v>Debit</x:v>
      </x:c>
      <x:c r="E107" s="85" t="str">
        <x:v>Administrative</x:v>
      </x:c>
      <x:c r="F107" s="85" t="str">
        <x:v>Body corporate management</x:v>
      </x:c>
      <x:c r="G107" s="91" t="n">
        <x:v>22</x:v>
      </x:c>
      <x:c r="H107" s="91" t="n">
        <x:v>0</x:v>
      </x:c>
      <x:c r="I107" s="91" t="n">
        <x:v>151710.19</x:v>
      </x:c>
      <x:c r="J107" s="85" t="str">
        <x:v>High</x:v>
      </x:c>
      <x:c r="K107" s="85" t="str">
        <x:v>02c86cbb-db67-40f8-b552-8f70c45385aa.pdf</x:v>
      </x:c>
    </x:row>
    <x:row r="108">
      <x:c r="A108" s="88" t="n">
        <x:v>46211</x:v>
      </x:c>
      <x:c r="B108" s="85" t="str">
        <x:v>Electronic Debit - *CRS-DPXP52 DPX Projects Pty</x:v>
      </x:c>
      <x:c r="C108" s="85" t="str">
        <x:v>Supplier payment</x:v>
      </x:c>
      <x:c r="D108" s="85" t="str">
        <x:v>Debit</x:v>
      </x:c>
      <x:c r="E108" s="85" t="str">
        <x:v>Sinking</x:v>
      </x:c>
      <x:c r="F108" s="85" t="str">
        <x:v>Reports - engineers / project management</x:v>
      </x:c>
      <x:c r="G108" s="91" t="n">
        <x:v>2255</x:v>
      </x:c>
      <x:c r="H108" s="91" t="n">
        <x:v>0</x:v>
      </x:c>
      <x:c r="I108" s="91" t="n">
        <x:v>148907.39</x:v>
      </x:c>
      <x:c r="J108" s="85" t="str">
        <x:v>High</x:v>
      </x:c>
      <x:c r="K108" s="85" t="str">
        <x:v>02c86cbb-db67-40f8-b552-8f70c45385aa.pdf</x:v>
      </x:c>
    </x:row>
    <x:row r="109">
      <x:c r="A109" s="88" t="n">
        <x:v>46211</x:v>
      </x:c>
      <x:c r="B109" s="85" t="str">
        <x:v>Electronic Debit - *CRS-BODY57 Body Corp Group</x:v>
      </x:c>
      <x:c r="C109" s="85" t="str">
        <x:v>Supplier payment</x:v>
      </x:c>
      <x:c r="D109" s="85" t="str">
        <x:v>Debit</x:v>
      </x:c>
      <x:c r="E109" s="85" t="str">
        <x:v>Administrative</x:v>
      </x:c>
      <x:c r="F109" s="85" t="str">
        <x:v>Cleaning &amp; grounds</x:v>
      </x:c>
      <x:c r="G109" s="91" t="n">
        <x:v>547.8</x:v>
      </x:c>
      <x:c r="H109" s="91" t="n">
        <x:v>0</x:v>
      </x:c>
      <x:c r="I109" s="91" t="n">
        <x:v>151162.39</x:v>
      </x:c>
      <x:c r="J109" s="85" t="str">
        <x:v>High</x:v>
      </x:c>
      <x:c r="K109" s="85" t="str">
        <x:v>02c86cbb-db67-40f8-b552-8f70c45385aa.pdf</x:v>
      </x:c>
    </x:row>
    <x:row r="110">
      <x:c r="A110" s="88" t="n">
        <x:v>46218</x:v>
      </x:c>
      <x:c r="B110" s="85" t="str">
        <x:v>Electronic Debit - *CRS-BASP24 BAS Pty Ltd</x:v>
      </x:c>
      <x:c r="C110" s="85" t="str">
        <x:v>Supplier payment</x:v>
      </x:c>
      <x:c r="D110" s="85" t="str">
        <x:v>Debit</x:v>
      </x:c>
      <x:c r="E110" s="85" t="str">
        <x:v>Administrative</x:v>
      </x:c>
      <x:c r="F110" s="85" t="str">
        <x:v>Fire systems</x:v>
      </x:c>
      <x:c r="G110" s="91" t="n">
        <x:v>88.92</x:v>
      </x:c>
      <x:c r="H110" s="91" t="n">
        <x:v>0</x:v>
      </x:c>
      <x:c r="I110" s="91" t="n">
        <x:v>150258.47</x:v>
      </x:c>
      <x:c r="J110" s="85" t="str">
        <x:v>High</x:v>
      </x:c>
      <x:c r="K110" s="85" t="str">
        <x:v>02c86cbb-db67-40f8-b552-8f70c45385aa.pdf</x:v>
      </x:c>
    </x:row>
    <x:row r="111">
      <x:c r="A111" s="88" t="n">
        <x:v>46218</x:v>
      </x:c>
      <x:c r="B111" s="85" t="str">
        <x:v>DEFT Bpay - 0000000010</x:v>
      </x:c>
      <x:c r="C111" s="85" t="str">
        <x:v>Deposit</x:v>
      </x:c>
      <x:c r="D111" s="85" t="str">
        <x:v>Credit</x:v>
      </x:c>
      <x:c r="E111" s="85" t="str">
        <x:v>Unallocated</x:v>
      </x:c>
      <x:c r="F111" s="85" t="str">
        <x:v>Levy receipts / owner funds</x:v>
      </x:c>
      <x:c r="G111" s="91" t="n">
        <x:v>0</x:v>
      </x:c>
      <x:c r="H111" s="91" t="n">
        <x:v>1440</x:v>
      </x:c>
      <x:c r="I111" s="91" t="n">
        <x:v>150347.39</x:v>
      </x:c>
      <x:c r="J111" s="85" t="str">
        <x:v>Needs review</x:v>
      </x:c>
      <x:c r="K111" s="85" t="str">
        <x:v>02c86cbb-db67-40f8-b552-8f70c45385aa.pdf</x:v>
      </x:c>
    </x:row>
    <x:row r="112">
      <x:c r="A112" s="88" t="n">
        <x:v>46223</x:v>
      </x:c>
      <x:c r="B112" s="85" t="str">
        <x:v>DEFT Bpay - 0000000009</x:v>
      </x:c>
      <x:c r="C112" s="85" t="str">
        <x:v>Deposit</x:v>
      </x:c>
      <x:c r="D112" s="85" t="str">
        <x:v>Credit</x:v>
      </x:c>
      <x:c r="E112" s="85" t="str">
        <x:v>Unallocated</x:v>
      </x:c>
      <x:c r="F112" s="85" t="str">
        <x:v>Levy receipts / owner funds</x:v>
      </x:c>
      <x:c r="G112" s="91" t="n">
        <x:v>0</x:v>
      </x:c>
      <x:c r="H112" s="91" t="n">
        <x:v>1440</x:v>
      </x:c>
      <x:c r="I112" s="91" t="n">
        <x:v>151698.47</x:v>
      </x:c>
      <x:c r="J112" s="85" t="str">
        <x:v>Needs review</x:v>
      </x:c>
      <x:c r="K112" s="85" t="str">
        <x:v>02c86cbb-db67-40f8-b552-8f70c45385aa.pdf</x:v>
      </x:c>
    </x:row>
    <x:row r="113">
      <x:c r="A113" s="88" t="n">
        <x:v>46232</x:v>
      </x:c>
      <x:c r="B113" s="85" t="str">
        <x:v>Electronic Debit - *CRS-SOLU02 Solutions in Fir</x:v>
      </x:c>
      <x:c r="C113" s="85" t="str">
        <x:v>Supplier payment</x:v>
      </x:c>
      <x:c r="D113" s="85" t="str">
        <x:v>Debit</x:v>
      </x:c>
      <x:c r="E113" s="85" t="str">
        <x:v>Administrative</x:v>
      </x:c>
      <x:c r="F113" s="85" t="str">
        <x:v>Fire systems</x:v>
      </x:c>
      <x:c r="G113" s="91" t="n">
        <x:v>616</x:v>
      </x:c>
      <x:c r="H113" s="91" t="n">
        <x:v>0</x:v>
      </x:c>
      <x:c r="I113" s="91" t="n">
        <x:v>150928.47</x:v>
      </x:c>
      <x:c r="J113" s="85" t="str">
        <x:v>High</x:v>
      </x:c>
      <x:c r="K113" s="85" t="str">
        <x:v>02c86cbb-db67-40f8-b552-8f70c45385aa.pdf</x:v>
      </x:c>
    </x:row>
    <x:row r="114">
      <x:c r="A114" s="88" t="n">
        <x:v>46232</x:v>
      </x:c>
      <x:c r="B114" s="85" t="str">
        <x:v>Electronic Debit - *CRS-BACK10 Backflow Plumbin</x:v>
      </x:c>
      <x:c r="C114" s="85" t="str">
        <x:v>Supplier payment</x:v>
      </x:c>
      <x:c r="D114" s="85" t="str">
        <x:v>Debit</x:v>
      </x:c>
      <x:c r="E114" s="85" t="str">
        <x:v>Administrative</x:v>
      </x:c>
      <x:c r="F114" s="85" t="str">
        <x:v>Plumbing - backflow testing</x:v>
      </x:c>
      <x:c r="G114" s="91" t="n">
        <x:v>154</x:v>
      </x:c>
      <x:c r="H114" s="91" t="n">
        <x:v>0</x:v>
      </x:c>
      <x:c r="I114" s="91" t="n">
        <x:v>151544.47</x:v>
      </x:c>
      <x:c r="J114" s="85" t="str">
        <x:v>High</x:v>
      </x:c>
      <x:c r="K114" s="85" t="str">
        <x:v>02c86cbb-db67-40f8-b552-8f70c45385aa.pdf</x:v>
      </x:c>
    </x:row>
    <x:row r="115">
      <x:c r="A115" s="89" t="n">
        <x:v>46234</x:v>
      </x:c>
      <x:c r="B115" s="86" t="str">
        <x:v>Electronic Debit - *CRS-096781 Whittles</x:v>
      </x:c>
      <x:c r="C115" s="86" t="str">
        <x:v>Management payment</x:v>
      </x:c>
      <x:c r="D115" s="86" t="str">
        <x:v>Debit</x:v>
      </x:c>
      <x:c r="E115" s="86" t="str">
        <x:v>Administrative</x:v>
      </x:c>
      <x:c r="F115" s="86" t="str">
        <x:v>Body corporate management</x:v>
      </x:c>
      <x:c r="G115" s="92" t="n">
        <x:v>125</x:v>
      </x:c>
      <x:c r="H115" s="92" t="n">
        <x:v>0</x:v>
      </x:c>
      <x:c r="I115" s="92" t="n">
        <x:v>150803.47</x:v>
      </x:c>
      <x:c r="J115" s="86" t="str">
        <x:v>High</x:v>
      </x:c>
      <x:c r="K115" s="86" t="str">
        <x:v>02c86cbb-db67-40f8-b552-8f70c45385aa.pdf</x:v>
      </x:c>
    </x:row>
  </x:sheetData>
  <x:mergeCells>
    <x:mergeCell ref="A1:K1"/>
    <x:mergeCell ref="A2:K2"/>
  </x:mergeCells>
  <x:dataValidations count="1">
    <x:dataValidation type="list" sqref="E5:E115">
      <x:formula1>"Administrative,Sinking,Unallocated"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d0ac7c1b74b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44" hidden="0" customWidth="1"/>
    <x:col min="5" max="5" width="16" hidden="0" customWidth="1"/>
    <x:col min="6" max="6" width="34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38" hidden="0" customWidth="1"/>
    <x:col min="12" max="12" width="30" hidden="0" customWidth="1"/>
    <x:col min="13" max="13" width="12" hidden="0" customWidth="1"/>
  </x:cols>
  <x:sheetData>
    <x:row r="1" ht="34" customHeight="1">
      <x:c r="A1" s="3" t="str">
        <x:v>Invoice Register</x:v>
      </x:c>
      <x:c r="B1" s="3" t="str">
        <x:v>Invoice Register</x:v>
      </x:c>
      <x:c r="C1" s="3" t="str">
        <x:v>Invoice Register</x:v>
      </x:c>
      <x:c r="D1" s="3" t="str">
        <x:v>Invoice Register</x:v>
      </x:c>
      <x:c r="E1" s="3" t="str">
        <x:v>Invoice Register</x:v>
      </x:c>
      <x:c r="F1" s="3" t="str">
        <x:v>Invoice Register</x:v>
      </x:c>
      <x:c r="G1" s="3" t="str">
        <x:v>Invoice Register</x:v>
      </x:c>
      <x:c r="H1" s="3" t="str">
        <x:v>Invoice Register</x:v>
      </x:c>
      <x:c r="I1" s="3" t="str">
        <x:v>Invoice Register</x:v>
      </x:c>
      <x:c r="J1" s="3" t="str">
        <x:v>Invoice Register</x:v>
      </x:c>
      <x:c r="K1" s="3" t="str">
        <x:v>Invoice Register</x:v>
      </x:c>
      <x:c r="L1" s="3" t="str">
        <x:v>Invoice Register</x:v>
      </x:c>
      <x:c r="M1" s="3" t="str">
        <x:v>Invoice Register</x:v>
      </x:c>
    </x:row>
    <x:row r="2" ht="26" customHeight="1">
      <x:c r="A2" s="6" t="str">
        <x:v>Invoice values, GST, fund coding, duplicate flags and bank-payment matching. Fund and category cells are editable.</x:v>
      </x:c>
      <x:c r="B2" s="6" t="str">
        <x:v>Invoice values, GST, fund coding, duplicate flags and bank-payment matching. Fund and category cells are editable.</x:v>
      </x:c>
      <x:c r="C2" s="6" t="str">
        <x:v>Invoice values, GST, fund coding, duplicate flags and bank-payment matching. Fund and category cells are editable.</x:v>
      </x:c>
      <x:c r="D2" s="6" t="str">
        <x:v>Invoice values, GST, fund coding, duplicate flags and bank-payment matching. Fund and category cells are editable.</x:v>
      </x:c>
      <x:c r="E2" s="6" t="str">
        <x:v>Invoice values, GST, fund coding, duplicate flags and bank-payment matching. Fund and category cells are editable.</x:v>
      </x:c>
      <x:c r="F2" s="6" t="str">
        <x:v>Invoice values, GST, fund coding, duplicate flags and bank-payment matching. Fund and category cells are editable.</x:v>
      </x:c>
      <x:c r="G2" s="6" t="str">
        <x:v>Invoice values, GST, fund coding, duplicate flags and bank-payment matching. Fund and category cells are editable.</x:v>
      </x:c>
      <x:c r="H2" s="6" t="str">
        <x:v>Invoice values, GST, fund coding, duplicate flags and bank-payment matching. Fund and category cells are editable.</x:v>
      </x:c>
      <x:c r="I2" s="6" t="str">
        <x:v>Invoice values, GST, fund coding, duplicate flags and bank-payment matching. Fund and category cells are editable.</x:v>
      </x:c>
      <x:c r="J2" s="6" t="str">
        <x:v>Invoice values, GST, fund coding, duplicate flags and bank-payment matching. Fund and category cells are editable.</x:v>
      </x:c>
      <x:c r="K2" s="6" t="str">
        <x:v>Invoice values, GST, fund coding, duplicate flags and bank-payment matching. Fund and category cells are editable.</x:v>
      </x:c>
      <x:c r="L2" s="6" t="str">
        <x:v>Invoice values, GST, fund coding, duplicate flags and bank-payment matching. Fund and category cells are editable.</x:v>
      </x:c>
      <x:c r="M2" s="6" t="str">
        <x:v>Invoice values, GST, fund coding, duplicate flags and bank-payment matching. Fund and category cells are editable.</x:v>
      </x:c>
    </x:row>
    <x:row r="4" ht="28" customHeight="1">
      <x:c r="A4" s="13" t="str">
        <x:v>Invoice Date</x:v>
      </x:c>
      <x:c r="B4" s="30" t="str">
        <x:v>Vendor</x:v>
      </x:c>
      <x:c r="C4" s="30" t="str">
        <x:v>Invoice #</x:v>
      </x:c>
      <x:c r="D4" s="30" t="str">
        <x:v>Description</x:v>
      </x:c>
      <x:c r="E4" s="30" t="str">
        <x:v>Fund</x:v>
      </x:c>
      <x:c r="F4" s="30" t="str">
        <x:v>Category</x:v>
      </x:c>
      <x:c r="G4" s="30" t="str">
        <x:v>Amount ex GST</x:v>
      </x:c>
      <x:c r="H4" s="30" t="str">
        <x:v>GST</x:v>
      </x:c>
      <x:c r="I4" s="30" t="str">
        <x:v>Total inc GST</x:v>
      </x:c>
      <x:c r="J4" s="30" t="str">
        <x:v>Payment Date</x:v>
      </x:c>
      <x:c r="K4" s="30" t="str">
        <x:v>Source PDF</x:v>
      </x:c>
      <x:c r="L4" s="30" t="str">
        <x:v>Status</x:v>
      </x:c>
      <x:c r="M4" s="14" t="str">
        <x:v>Duplicate</x:v>
      </x:c>
    </x:row>
    <x:row r="5">
      <x:c r="A5" s="87" t="n">
        <x:v>45999</x:v>
      </x:c>
      <x:c r="B5" s="84" t="str">
        <x:v>Oxley Gardening &amp; Property Maintenance</x:v>
      </x:c>
      <x:c r="C5" s="84" t="str">
        <x:v>691</x:v>
      </x:c>
      <x:c r="D5" s="84" t="str">
        <x:v>Ongoing yard maintenance</x:v>
      </x:c>
      <x:c r="E5" s="84" t="str">
        <x:v>Administrative</x:v>
      </x:c>
      <x:c r="F5" s="84" t="str">
        <x:v>Grounds</x:v>
      </x:c>
      <x:c r="G5" s="90" t="n">
        <x:f>I5-H5</x:f>
        <x:v>231.82</x:v>
      </x:c>
      <x:c r="H5" s="90" t="n">
        <x:v>23.18</x:v>
      </x:c>
      <x:c r="I5" s="90" t="n">
        <x:v>255</x:v>
      </x:c>
      <x:c r="J5" s="87" t="n">
        <x:v>46029</x:v>
      </x:c>
      <x:c r="K5" s="84" t="str">
        <x:v>2c6a8325-949a-4709-ad02-a71192553832.pdf</x:v>
      </x:c>
      <x:c r="L5" s="84" t="str">
        <x:v>Paid - bank matched</x:v>
      </x:c>
      <x:c r="M5" s="98" t="b">
        <x:v>0</x:v>
      </x:c>
    </x:row>
    <x:row r="6">
      <x:c r="A6" s="88" t="n">
        <x:v>46006</x:v>
      </x:c>
      <x:c r="B6" s="85" t="str">
        <x:v>Abstract Solutions</x:v>
      </x:c>
      <x:c r="C6" s="85" t="str">
        <x:v>10701</x:v>
      </x:c>
      <x:c r="D6" s="85" t="str">
        <x:v>Fabric and carpet cleaning</x:v>
      </x:c>
      <x:c r="E6" s="85" t="str">
        <x:v>Administrative</x:v>
      </x:c>
      <x:c r="F6" s="85" t="str">
        <x:v>Cleaning - carpet cleaning</x:v>
      </x:c>
      <x:c r="G6" s="91" t="n">
        <x:f>I6-H6</x:f>
        <x:v>800</x:v>
      </x:c>
      <x:c r="H6" s="91" t="n">
        <x:v>80</x:v>
      </x:c>
      <x:c r="I6" s="91" t="n">
        <x:v>880</x:v>
      </x:c>
      <x:c r="J6" s="88" t="n">
        <x:v>46043</x:v>
      </x:c>
      <x:c r="K6" s="85" t="str">
        <x:v>ed1caad8-b06e-4194-bed2-0c4cafd8d9c8.pdf</x:v>
      </x:c>
      <x:c r="L6" s="85" t="str">
        <x:v>Paid - bank matched</x:v>
      </x:c>
      <x:c r="M6" s="99" t="b">
        <x:v>0</x:v>
      </x:c>
    </x:row>
    <x:row r="7">
      <x:c r="A7" s="88" t="n">
        <x:v>46009</x:v>
      </x:c>
      <x:c r="B7" s="85" t="str">
        <x:v>DPX Projects</x:v>
      </x:c>
      <x:c r="C7" s="85" t="str">
        <x:v>000004052</x:v>
      </x:c>
      <x:c r="D7" s="85" t="str">
        <x:v>Forensic water testing report - Units 8 and 9, deposit 50%</x:v>
      </x:c>
      <x:c r="E7" s="85" t="str">
        <x:v>Administrative</x:v>
      </x:c>
      <x:c r="F7" s="85" t="str">
        <x:v>Reports - building inspection</x:v>
      </x:c>
      <x:c r="G7" s="91" t="n">
        <x:f>I7-H7</x:f>
        <x:v>625</x:v>
      </x:c>
      <x:c r="H7" s="91" t="n">
        <x:v>62.5</x:v>
      </x:c>
      <x:c r="I7" s="91" t="n">
        <x:v>687.5</x:v>
      </x:c>
      <x:c r="J7" s="88" t="n">
        <x:v>46029</x:v>
      </x:c>
      <x:c r="K7" s="85" t="str">
        <x:v>b0a4902c-5585-45c3-8f87-f7500d76a72b.pdf</x:v>
      </x:c>
      <x:c r="L7" s="85" t="str">
        <x:v>Paid - bank matched</x:v>
      </x:c>
      <x:c r="M7" s="99" t="b">
        <x:v>0</x:v>
      </x:c>
    </x:row>
    <x:row r="8">
      <x:c r="A8" s="88" t="n">
        <x:v>46030</x:v>
      </x:c>
      <x:c r="B8" s="85" t="str">
        <x:v>BAS Fire</x:v>
      </x:c>
      <x:c r="C8" s="85" t="str">
        <x:v>INV-45477</x:v>
      </x:c>
      <x:c r="D8" s="85" t="str">
        <x:v>Monthly essential fire services maintenance</x:v>
      </x:c>
      <x:c r="E8" s="85" t="str">
        <x:v>Administrative</x:v>
      </x:c>
      <x:c r="F8" s="85" t="str">
        <x:v>Fire systems</x:v>
      </x:c>
      <x:c r="G8" s="91" t="n">
        <x:f>I8-H8</x:f>
        <x:v>80.84</x:v>
      </x:c>
      <x:c r="H8" s="91" t="n">
        <x:v>8.08</x:v>
      </x:c>
      <x:c r="I8" s="91" t="n">
        <x:v>88.92</x:v>
      </x:c>
      <x:c r="J8" s="88" t="n">
        <x:v>46043</x:v>
      </x:c>
      <x:c r="K8" s="85" t="str">
        <x:v>6b2dc0b1-6a59-47e4-82c2-c3f4b23c659d.pdf</x:v>
      </x:c>
      <x:c r="L8" s="85" t="str">
        <x:v>Paid - bank matched</x:v>
      </x:c>
      <x:c r="M8" s="99" t="b">
        <x:v>0</x:v>
      </x:c>
    </x:row>
    <x:row r="9">
      <x:c r="A9" s="88" t="n">
        <x:v>46034</x:v>
      </x:c>
      <x:c r="B9" s="85" t="str">
        <x:v>Oxley Gardening &amp; Property Maintenance</x:v>
      </x:c>
      <x:c r="C9" s="85" t="str">
        <x:v>8855</x:v>
      </x:c>
      <x:c r="D9" s="85" t="str">
        <x:v>Ongoing yard maintenance</x:v>
      </x:c>
      <x:c r="E9" s="85" t="str">
        <x:v>Administrative</x:v>
      </x:c>
      <x:c r="F9" s="85" t="str">
        <x:v>Grounds</x:v>
      </x:c>
      <x:c r="G9" s="91" t="n">
        <x:f>I9-H9</x:f>
        <x:v>231.82</x:v>
      </x:c>
      <x:c r="H9" s="91" t="n">
        <x:v>23.18</x:v>
      </x:c>
      <x:c r="I9" s="91" t="n">
        <x:v>255</x:v>
      </x:c>
      <x:c r="J9" s="88" t="n">
        <x:v>46043</x:v>
      </x:c>
      <x:c r="K9" s="85" t="str">
        <x:v>666bcd8c-fd80-4d34-b2d0-afa1fe0e5137.pdf</x:v>
      </x:c>
      <x:c r="L9" s="85" t="str">
        <x:v>Paid - bank matched</x:v>
      </x:c>
      <x:c r="M9" s="99" t="b">
        <x:v>0</x:v>
      </x:c>
    </x:row>
    <x:row r="10">
      <x:c r="A10" s="88" t="n">
        <x:v>46037</x:v>
      </x:c>
      <x:c r="B10" s="85" t="str">
        <x:v>Oxley Gardening &amp; Property Maintenance</x:v>
      </x:c>
      <x:c r="C10" s="85" t="str">
        <x:v>6916</x:v>
      </x:c>
      <x:c r="D10" s="85" t="str">
        <x:v>Ongoing yard maintenance</x:v>
      </x:c>
      <x:c r="E10" s="85" t="str">
        <x:v>Administrative</x:v>
      </x:c>
      <x:c r="F10" s="85" t="str">
        <x:v>Grounds</x:v>
      </x:c>
      <x:c r="G10" s="91" t="n">
        <x:f>I10-H10</x:f>
        <x:v>231.82</x:v>
      </x:c>
      <x:c r="H10" s="91" t="n">
        <x:v>23.18</x:v>
      </x:c>
      <x:c r="I10" s="91" t="n">
        <x:v>255</x:v>
      </x:c>
      <x:c r="J10" s="88" t="n">
        <x:v>46043</x:v>
      </x:c>
      <x:c r="K10" s="85" t="str">
        <x:v>4a0a8c9a-9653-455f-80ba-be77947feb2d.pdf</x:v>
      </x:c>
      <x:c r="L10" s="85" t="str">
        <x:v>Paid - bank matched</x:v>
      </x:c>
      <x:c r="M10" s="99" t="b">
        <x:v>0</x:v>
      </x:c>
    </x:row>
    <x:row r="11">
      <x:c r="A11" s="88" t="n">
        <x:v>46042</x:v>
      </x:c>
      <x:c r="B11" s="85" t="str">
        <x:v>Sandstone Consulting</x:v>
      </x:c>
      <x:c r="C11" s="85" t="str">
        <x:v>93-97 Prim – 01 Rev A</x:v>
      </x:c>
      <x:c r="D11" s="85" t="str">
        <x:v>Engineering consultancy</x:v>
      </x:c>
      <x:c r="E11" s="85" t="str">
        <x:v>Sinking</x:v>
      </x:c>
      <x:c r="F11" s="85" t="str">
        <x:v>Reports - consultancy</x:v>
      </x:c>
      <x:c r="G11" s="91" t="n">
        <x:f>I11-H11</x:f>
        <x:v>1680</x:v>
      </x:c>
      <x:c r="H11" s="91" t="n">
        <x:v>168</x:v>
      </x:c>
      <x:c r="I11" s="91" t="n">
        <x:v>1848</x:v>
      </x:c>
      <x:c r="J11" s="88" t="n">
        <x:v>46050</x:v>
      </x:c>
      <x:c r="K11" s="85" t="str">
        <x:v>b2ca02de-2832-44ae-8cd0-d8111a7fb6fd.pdf</x:v>
      </x:c>
      <x:c r="L11" s="85" t="str">
        <x:v>Paid - bank matched</x:v>
      </x:c>
      <x:c r="M11" s="99" t="b">
        <x:v>0</x:v>
      </x:c>
    </x:row>
    <x:row r="12">
      <x:c r="A12" s="88" t="n">
        <x:v>46045</x:v>
      </x:c>
      <x:c r="B12" s="85" t="str">
        <x:v>DPX Projects</x:v>
      </x:c>
      <x:c r="C12" s="85" t="str">
        <x:v>000004073</x:v>
      </x:c>
      <x:c r="D12" s="85" t="str">
        <x:v>Forensic water testing report - Units 8 and 9, final 50%</x:v>
      </x:c>
      <x:c r="E12" s="85" t="str">
        <x:v>Administrative</x:v>
      </x:c>
      <x:c r="F12" s="85" t="str">
        <x:v>Reports - building inspection</x:v>
      </x:c>
      <x:c r="G12" s="91" t="n">
        <x:f>I12-H12</x:f>
        <x:v>625</x:v>
      </x:c>
      <x:c r="H12" s="91" t="n">
        <x:v>62.5</x:v>
      </x:c>
      <x:c r="I12" s="91" t="n">
        <x:v>687.5</x:v>
      </x:c>
      <x:c r="J12" s="88" t="n">
        <x:v>46050</x:v>
      </x:c>
      <x:c r="K12" s="85" t="str">
        <x:v>8fc1de85-3ce8-41bd-98c9-5024c5292b4f.pdf</x:v>
      </x:c>
      <x:c r="L12" s="85" t="str">
        <x:v>Paid - bank matched</x:v>
      </x:c>
      <x:c r="M12" s="99" t="b">
        <x:v>0</x:v>
      </x:c>
    </x:row>
    <x:row r="13">
      <x:c r="A13" s="88" t="n">
        <x:v>46049</x:v>
      </x:c>
      <x:c r="B13" s="85" t="str">
        <x:v>Timmers Maintenance Services</x:v>
      </x:c>
      <x:c r="C13" s="85" t="str">
        <x:v>CI62805</x:v>
      </x:c>
      <x:c r="D13" s="85" t="str">
        <x:v>Concrete path repairs</x:v>
      </x:c>
      <x:c r="E13" s="85" t="str">
        <x:v>Sinking</x:v>
      </x:c>
      <x:c r="F13" s="85" t="str">
        <x:v>Common property - concrete repairs</x:v>
      </x:c>
      <x:c r="G13" s="91" t="n">
        <x:f>I13-H13</x:f>
        <x:v>2396.45</x:v>
      </x:c>
      <x:c r="H13" s="91" t="n">
        <x:v>239.65</x:v>
      </x:c>
      <x:c r="I13" s="91" t="n">
        <x:v>2636.1</x:v>
      </x:c>
      <x:c r="J13" s="88" t="n">
        <x:v>46050</x:v>
      </x:c>
      <x:c r="K13" s="85" t="str">
        <x:v>3f2d42ba-672d-4bb0-8e90-7ff1e9d1dcb8.pdf</x:v>
      </x:c>
      <x:c r="L13" s="85" t="str">
        <x:v>Paid - bank matched</x:v>
      </x:c>
      <x:c r="M13" s="99" t="b">
        <x:v>0</x:v>
      </x:c>
    </x:row>
    <x:row r="14">
      <x:c r="A14" s="88" t="n">
        <x:v>46053</x:v>
      </x:c>
      <x:c r="B14" s="85" t="str">
        <x:v>Body Corp Group</x:v>
      </x:c>
      <x:c r="C14" s="85" t="str">
        <x:v>INV-3549</x:v>
      </x:c>
      <x:c r="D14" s="85" t="str">
        <x:v>Common area cleaning</x:v>
      </x:c>
      <x:c r="E14" s="85" t="str">
        <x:v>Administrative</x:v>
      </x:c>
      <x:c r="F14" s="85" t="str">
        <x:v>Cleaning</x:v>
      </x:c>
      <x:c r="G14" s="91" t="n">
        <x:f>I14-H14</x:f>
        <x:v>280</x:v>
      </x:c>
      <x:c r="H14" s="91" t="n">
        <x:v>28</x:v>
      </x:c>
      <x:c r="I14" s="91" t="n">
        <x:v>308</x:v>
      </x:c>
      <x:c r="J14" s="88" t="n">
        <x:v>46057</x:v>
      </x:c>
      <x:c r="K14" s="85" t="str">
        <x:v>3f4c428b-6883-4bd4-a9ff-718e65a87cfd.pdf</x:v>
      </x:c>
      <x:c r="L14" s="85" t="str">
        <x:v>Paid - bank matched</x:v>
      </x:c>
      <x:c r="M14" s="99" t="b">
        <x:v>0</x:v>
      </x:c>
    </x:row>
    <x:row r="15">
      <x:c r="A15" s="88" t="n">
        <x:v>46053</x:v>
      </x:c>
      <x:c r="B15" s="85" t="str">
        <x:v>Body Corp Group</x:v>
      </x:c>
      <x:c r="C15" s="85" t="str">
        <x:v>INV-3550</x:v>
      </x:c>
      <x:c r="D15" s="85" t="str">
        <x:v>Carpet cleaning</x:v>
      </x:c>
      <x:c r="E15" s="85" t="str">
        <x:v>Administrative</x:v>
      </x:c>
      <x:c r="F15" s="85" t="str">
        <x:v>Cleaning - carpet cleaning</x:v>
      </x:c>
      <x:c r="G15" s="91" t="n">
        <x:f>I15-H15</x:f>
        <x:v>250</x:v>
      </x:c>
      <x:c r="H15" s="91" t="n">
        <x:v>25</x:v>
      </x:c>
      <x:c r="I15" s="91" t="n">
        <x:v>275</x:v>
      </x:c>
      <x:c r="J15" s="88" t="n">
        <x:v>46057</x:v>
      </x:c>
      <x:c r="K15" s="85" t="str">
        <x:v>f888d23e-3c02-471f-a2f5-1057ccf8d559.pdf</x:v>
      </x:c>
      <x:c r="L15" s="85" t="str">
        <x:v>Paid - bank matched</x:v>
      </x:c>
      <x:c r="M15" s="99" t="b">
        <x:v>0</x:v>
      </x:c>
    </x:row>
    <x:row r="16">
      <x:c r="A16" s="88" t="n">
        <x:v>46055</x:v>
      </x:c>
      <x:c r="B16" s="85" t="str">
        <x:v>Brisbane City Plumbing and Gas</x:v>
      </x:c>
      <x:c r="C16" s="85" t="str">
        <x:v>2135</x:v>
      </x:c>
      <x:c r="D16" s="85" t="str">
        <x:v>Sewer drain repair</x:v>
      </x:c>
      <x:c r="E16" s="85" t="str">
        <x:v>Sinking</x:v>
      </x:c>
      <x:c r="F16" s="85" t="str">
        <x:v>Plumbing - capital repair</x:v>
      </x:c>
      <x:c r="G16" s="91" t="n">
        <x:f>I16-H16</x:f>
        <x:v>1795</x:v>
      </x:c>
      <x:c r="H16" s="91" t="n">
        <x:v>179.5</x:v>
      </x:c>
      <x:c r="I16" s="91" t="n">
        <x:v>1974.5</x:v>
      </x:c>
      <x:c r="J16" s="88" t="n">
        <x:v>46057</x:v>
      </x:c>
      <x:c r="K16" s="85" t="str">
        <x:v>d90bd0a2-ee48-4cb8-8350-16357c91c14d.pdf</x:v>
      </x:c>
      <x:c r="L16" s="85" t="str">
        <x:v>Paid - bank matched</x:v>
      </x:c>
      <x:c r="M16" s="99" t="b">
        <x:v>0</x:v>
      </x:c>
    </x:row>
    <x:row r="17">
      <x:c r="A17" s="88" t="n">
        <x:v>46055</x:v>
      </x:c>
      <x:c r="B17" s="85" t="str">
        <x:v>Skyline Accounting</x:v>
      </x:c>
      <x:c r="C17" s="85" t="str">
        <x:v>INV-4563</x:v>
      </x:c>
      <x:c r="D17" s="85" t="str">
        <x:v>Audit services</x:v>
      </x:c>
      <x:c r="E17" s="85" t="str">
        <x:v>Administrative</x:v>
      </x:c>
      <x:c r="F17" s="85" t="str">
        <x:v>Accounting &amp; audit</x:v>
      </x:c>
      <x:c r="G17" s="91" t="n">
        <x:f>I17-H17</x:f>
        <x:v>561.5500000000001</x:v>
      </x:c>
      <x:c r="H17" s="91" t="n">
        <x:v>56.15</x:v>
      </x:c>
      <x:c r="I17" s="91" t="n">
        <x:v>617.7</x:v>
      </x:c>
      <x:c r="J17" s="88" t="n">
        <x:v>46057</x:v>
      </x:c>
      <x:c r="K17" s="85" t="str">
        <x:v>8ff66b6c-4034-44e2-b1b2-df58bcf3bcea.pdf</x:v>
      </x:c>
      <x:c r="L17" s="85" t="str">
        <x:v>Paid - bank matched</x:v>
      </x:c>
      <x:c r="M17" s="99" t="b">
        <x:v>0</x:v>
      </x:c>
    </x:row>
    <x:row r="18">
      <x:c r="A18" s="88" t="n">
        <x:v>46058</x:v>
      </x:c>
      <x:c r="B18" s="85" t="str">
        <x:v>Origin Energy</x:v>
      </x:c>
      <x:c r="C18" s="85" t="str">
        <x:v>119470684</x:v>
      </x:c>
      <x:c r="D18" s="85" t="str">
        <x:v>Electricity supply</x:v>
      </x:c>
      <x:c r="E18" s="85" t="str">
        <x:v>Administrative</x:v>
      </x:c>
      <x:c r="F18" s="85" t="str">
        <x:v>Utilities - electricity</x:v>
      </x:c>
      <x:c r="G18" s="91" t="n">
        <x:f>I18-H18</x:f>
        <x:v>376.07</x:v>
      </x:c>
      <x:c r="H18" s="91" t="n">
        <x:v>37.61</x:v>
      </x:c>
      <x:c r="I18" s="91" t="n">
        <x:v>413.68</x:v>
      </x:c>
      <x:c r="J18" s="88" t="n">
        <x:v>46064</x:v>
      </x:c>
      <x:c r="K18" s="85" t="str">
        <x:v>db7f8fd6-d2a2-41b2-9caa-2e9de6417b8a.pdf</x:v>
      </x:c>
      <x:c r="L18" s="85" t="str">
        <x:v>Paid - bank matched</x:v>
      </x:c>
      <x:c r="M18" s="99" t="b">
        <x:v>0</x:v>
      </x:c>
    </x:row>
    <x:row r="19">
      <x:c r="A19" s="88" t="n">
        <x:v>46060</x:v>
      </x:c>
      <x:c r="B19" s="85" t="str">
        <x:v>Brisbane City Council</x:v>
      </x:c>
      <x:c r="C19" s="85" t="str">
        <x:v>6565-0005-7473-589</x:v>
      </x:c>
      <x:c r="D19" s="85" t="str">
        <x:v>Annual backflow prevention device registration fee</x:v>
      </x:c>
      <x:c r="E19" s="85" t="str">
        <x:v>Administrative</x:v>
      </x:c>
      <x:c r="F19" s="85" t="str">
        <x:v>Plumbing - backflow registration</x:v>
      </x:c>
      <x:c r="G19" s="91" t="n">
        <x:f>I19-H19</x:f>
        <x:v>79</x:v>
      </x:c>
      <x:c r="H19" s="91" t="n">
        <x:v>0</x:v>
      </x:c>
      <x:c r="I19" s="91" t="n">
        <x:v>79</x:v>
      </x:c>
      <x:c r="J19" s="88" t="n">
        <x:v>46078</x:v>
      </x:c>
      <x:c r="K19" s="85" t="str">
        <x:v>79137686-3b50-46b7-b71d-502b5e2a6f6f.pdf</x:v>
      </x:c>
      <x:c r="L19" s="85" t="str">
        <x:v>Paid - bank matched</x:v>
      </x:c>
      <x:c r="M19" s="99" t="b">
        <x:v>0</x:v>
      </x:c>
    </x:row>
    <x:row r="20">
      <x:c r="A20" s="88" t="n">
        <x:v>46061</x:v>
      </x:c>
      <x:c r="B20" s="85" t="str">
        <x:v>BAS Fire</x:v>
      </x:c>
      <x:c r="C20" s="85" t="str">
        <x:v>INV-45635</x:v>
      </x:c>
      <x:c r="D20" s="85" t="str">
        <x:v>Monthly essential fire services maintenance</x:v>
      </x:c>
      <x:c r="E20" s="85" t="str">
        <x:v>Administrative</x:v>
      </x:c>
      <x:c r="F20" s="85" t="str">
        <x:v>Fire systems</x:v>
      </x:c>
      <x:c r="G20" s="91" t="n">
        <x:f>I20-H20</x:f>
        <x:v>80.84</x:v>
      </x:c>
      <x:c r="H20" s="91" t="n">
        <x:v>8.08</x:v>
      </x:c>
      <x:c r="I20" s="91" t="n">
        <x:v>88.92</x:v>
      </x:c>
      <x:c r="J20" s="88" t="n">
        <x:v>46071</x:v>
      </x:c>
      <x:c r="K20" s="85" t="str">
        <x:v>6960e706-6df5-45d2-8a9e-bb286a174c69.pdf</x:v>
      </x:c>
      <x:c r="L20" s="85" t="str">
        <x:v>Paid - bank matched</x:v>
      </x:c>
      <x:c r="M20" s="99" t="b">
        <x:v>0</x:v>
      </x:c>
    </x:row>
    <x:row r="21">
      <x:c r="A21" s="88" t="n">
        <x:v>46074</x:v>
      </x:c>
      <x:c r="B21" s="85" t="str">
        <x:v>Oxley Gardening &amp; Property Maintenance</x:v>
      </x:c>
      <x:c r="C21" s="85" t="str">
        <x:v>INV-0011</x:v>
      </x:c>
      <x:c r="D21" s="85" t="str">
        <x:v>Ongoing yard maintenance</x:v>
      </x:c>
      <x:c r="E21" s="85" t="str">
        <x:v>Administrative</x:v>
      </x:c>
      <x:c r="F21" s="85" t="str">
        <x:v>Grounds</x:v>
      </x:c>
      <x:c r="G21" s="91" t="n">
        <x:f>I21-H21</x:f>
        <x:v>231.82</x:v>
      </x:c>
      <x:c r="H21" s="91" t="n">
        <x:v>23.18</x:v>
      </x:c>
      <x:c r="I21" s="91" t="n">
        <x:v>255</x:v>
      </x:c>
      <x:c r="J21" s="88" t="n">
        <x:v>46078</x:v>
      </x:c>
      <x:c r="K21" s="85" t="str">
        <x:v>f45efb86-4732-4a00-b042-71924e804855.pdf</x:v>
      </x:c>
      <x:c r="L21" s="85" t="str">
        <x:v>Paid - bank matched</x:v>
      </x:c>
      <x:c r="M21" s="99" t="b">
        <x:v>0</x:v>
      </x:c>
    </x:row>
    <x:row r="22">
      <x:c r="A22" s="88" t="n">
        <x:v>46076</x:v>
      </x:c>
      <x:c r="B22" s="85" t="str">
        <x:v>Whittles Brisbane</x:v>
      </x:c>
      <x:c r="C22" s="85" t="str">
        <x:v>090116</x:v>
      </x:c>
      <x:c r="D22" s="85" t="str">
        <x:v>Work-order compliance fee</x:v>
      </x:c>
      <x:c r="E22" s="85" t="str">
        <x:v>Administrative</x:v>
      </x:c>
      <x:c r="F22" s="85" t="str">
        <x:v>Management - additional services</x:v>
      </x:c>
      <x:c r="G22" s="91" t="n">
        <x:f>I22-H22</x:f>
        <x:v>50</x:v>
      </x:c>
      <x:c r="H22" s="91" t="n">
        <x:v>5</x:v>
      </x:c>
      <x:c r="I22" s="91" t="n">
        <x:v>55</x:v>
      </x:c>
      <x:c r="J22" s="88" t="n">
        <x:v>46077</x:v>
      </x:c>
      <x:c r="K22" s="85" t="str">
        <x:v>3ca5c059-6b42-46a7-a350-6495d4994703.pdf</x:v>
      </x:c>
      <x:c r="L22" s="85" t="str">
        <x:v>Paid - bank matched</x:v>
      </x:c>
      <x:c r="M22" s="99" t="b">
        <x:v>0</x:v>
      </x:c>
    </x:row>
    <x:row r="23">
      <x:c r="A23" s="88" t="n">
        <x:v>46079</x:v>
      </x:c>
      <x:c r="B23" s="85" t="str">
        <x:v>Whittles Brisbane</x:v>
      </x:c>
      <x:c r="C23" s="85" t="str">
        <x:v>090217</x:v>
      </x:c>
      <x:c r="D23" s="85" t="str">
        <x:v>Work-order compliance fee</x:v>
      </x:c>
      <x:c r="E23" s="85" t="str">
        <x:v>Administrative</x:v>
      </x:c>
      <x:c r="F23" s="85" t="str">
        <x:v>Management - additional services</x:v>
      </x:c>
      <x:c r="G23" s="91" t="n">
        <x:f>I23-H23</x:f>
        <x:v>50</x:v>
      </x:c>
      <x:c r="H23" s="91" t="n">
        <x:v>5</x:v>
      </x:c>
      <x:c r="I23" s="91" t="n">
        <x:v>55</x:v>
      </x:c>
      <x:c r="J23" s="88" t="n">
        <x:v>46080</x:v>
      </x:c>
      <x:c r="K23" s="85" t="str">
        <x:v>44345a94-4160-4a03-9864-67a7f89f4137.pdf</x:v>
      </x:c>
      <x:c r="L23" s="85" t="str">
        <x:v>Paid - bank matched</x:v>
      </x:c>
      <x:c r="M23" s="99" t="b">
        <x:v>0</x:v>
      </x:c>
    </x:row>
    <x:row r="24">
      <x:c r="A24" s="88" t="n">
        <x:v>46081</x:v>
      </x:c>
      <x:c r="B24" s="85" t="str">
        <x:v>Body Corp Group</x:v>
      </x:c>
      <x:c r="C24" s="85" t="str">
        <x:v>INV-3627</x:v>
      </x:c>
      <x:c r="D24" s="85" t="str">
        <x:v>Common area cleaning</x:v>
      </x:c>
      <x:c r="E24" s="85" t="str">
        <x:v>Administrative</x:v>
      </x:c>
      <x:c r="F24" s="85" t="str">
        <x:v>Cleaning</x:v>
      </x:c>
      <x:c r="G24" s="91" t="n">
        <x:f>I24-H24</x:f>
        <x:v>200</x:v>
      </x:c>
      <x:c r="H24" s="91" t="n">
        <x:v>20</x:v>
      </x:c>
      <x:c r="I24" s="91" t="n">
        <x:v>220</x:v>
      </x:c>
      <x:c r="J24" s="88" t="n">
        <x:v>46092</x:v>
      </x:c>
      <x:c r="K24" s="85" t="str">
        <x:v>36ea5ed1-d3d9-46da-866a-e88d03a5692c.pdf</x:v>
      </x:c>
      <x:c r="L24" s="85" t="str">
        <x:v>Paid - bank matched</x:v>
      </x:c>
      <x:c r="M24" s="99" t="b">
        <x:v>0</x:v>
      </x:c>
    </x:row>
    <x:row r="25">
      <x:c r="A25" s="88" t="n">
        <x:v>46082</x:v>
      </x:c>
      <x:c r="B25" s="85" t="str">
        <x:v>Whittles Brisbane</x:v>
      </x:c>
      <x:c r="C25" s="85" t="str">
        <x:v>090655</x:v>
      </x:c>
      <x:c r="D25" s="85" t="str">
        <x:v>Agreed services and management fees</x:v>
      </x:c>
      <x:c r="E25" s="85" t="str">
        <x:v>Administrative</x:v>
      </x:c>
      <x:c r="F25" s="85" t="str">
        <x:v>Body corporate management</x:v>
      </x:c>
      <x:c r="G25" s="91" t="n">
        <x:f>I25-H25</x:f>
        <x:v>242.32</x:v>
      </x:c>
      <x:c r="H25" s="91" t="n">
        <x:v>24.24</x:v>
      </x:c>
      <x:c r="I25" s="91" t="n">
        <x:v>266.56</x:v>
      </x:c>
      <x:c r="J25" s="88" t="n">
        <x:v>46083</x:v>
      </x:c>
      <x:c r="K25" s="85" t="str">
        <x:v>1faa73a2-031e-4ac8-93b9-6902147984e7.pdf</x:v>
      </x:c>
      <x:c r="L25" s="85" t="str">
        <x:v>Paid - bank matched</x:v>
      </x:c>
      <x:c r="M25" s="99" t="b">
        <x:v>0</x:v>
      </x:c>
    </x:row>
    <x:row r="26">
      <x:c r="A26" s="88" t="n">
        <x:v>46089</x:v>
      </x:c>
      <x:c r="B26" s="85" t="str">
        <x:v>BAS Fire</x:v>
      </x:c>
      <x:c r="C26" s="85" t="str">
        <x:v>INV-45854</x:v>
      </x:c>
      <x:c r="D26" s="85" t="str">
        <x:v>Monthly essential fire services maintenance</x:v>
      </x:c>
      <x:c r="E26" s="85" t="str">
        <x:v>Administrative</x:v>
      </x:c>
      <x:c r="F26" s="85" t="str">
        <x:v>Fire systems</x:v>
      </x:c>
      <x:c r="G26" s="91" t="n">
        <x:f>I26-H26</x:f>
        <x:v>80.84</x:v>
      </x:c>
      <x:c r="H26" s="91" t="n">
        <x:v>8.08</x:v>
      </x:c>
      <x:c r="I26" s="91" t="n">
        <x:v>88.92</x:v>
      </x:c>
      <x:c r="J26" s="88" t="n">
        <x:v>46099</x:v>
      </x:c>
      <x:c r="K26" s="85" t="str">
        <x:v>36669229-cc4b-4ca4-bf9a-48bc7f7b6b46.pdf</x:v>
      </x:c>
      <x:c r="L26" s="85" t="str">
        <x:v>Paid - bank matched</x:v>
      </x:c>
      <x:c r="M26" s="99" t="b">
        <x:v>0</x:v>
      </x:c>
    </x:row>
    <x:row r="27">
      <x:c r="A27" s="88" t="n">
        <x:v>46099</x:v>
      </x:c>
      <x:c r="B27" s="85" t="str">
        <x:v>Oxley Gardening &amp; Property Maintenance</x:v>
      </x:c>
      <x:c r="C27" s="85" t="str">
        <x:v>INV-0017</x:v>
      </x:c>
      <x:c r="D27" s="85" t="str">
        <x:v>Ongoing yard maintenance</x:v>
      </x:c>
      <x:c r="E27" s="85" t="str">
        <x:v>Administrative</x:v>
      </x:c>
      <x:c r="F27" s="85" t="str">
        <x:v>Grounds</x:v>
      </x:c>
      <x:c r="G27" s="91" t="n">
        <x:f>I27-H27</x:f>
        <x:v>231.82</x:v>
      </x:c>
      <x:c r="H27" s="91" t="n">
        <x:v>23.18</x:v>
      </x:c>
      <x:c r="I27" s="91" t="n">
        <x:v>255</x:v>
      </x:c>
      <x:c r="J27" s="88" t="n">
        <x:v>46106</x:v>
      </x:c>
      <x:c r="K27" s="85" t="str">
        <x:v>b1ed1f33-8e1c-4b3b-9a42-5f6681987c6a.pdf</x:v>
      </x:c>
      <x:c r="L27" s="85" t="str">
        <x:v>Paid - bank matched</x:v>
      </x:c>
      <x:c r="M27" s="99" t="b">
        <x:v>0</x:v>
      </x:c>
    </x:row>
    <x:row r="28">
      <x:c r="A28" s="88" t="n">
        <x:v>46111</x:v>
      </x:c>
      <x:c r="B28" s="85" t="str">
        <x:v>Rifle Pest Management</x:v>
      </x:c>
      <x:c r="C28" s="85" t="str">
        <x:v>INV-5625</x:v>
      </x:c>
      <x:c r="D28" s="85" t="str">
        <x:v>Pest control and termite inspection</x:v>
      </x:c>
      <x:c r="E28" s="85" t="str">
        <x:v>Administrative</x:v>
      </x:c>
      <x:c r="F28" s="85" t="str">
        <x:v>Pest control</x:v>
      </x:c>
      <x:c r="G28" s="91" t="n">
        <x:f>I28-H28</x:f>
        <x:v>1218.18</x:v>
      </x:c>
      <x:c r="H28" s="91" t="n">
        <x:v>121.82</x:v>
      </x:c>
      <x:c r="I28" s="91" t="n">
        <x:v>1340</x:v>
      </x:c>
      <x:c r="J28" s="88" t="n">
        <x:v>46148</x:v>
      </x:c>
      <x:c r="K28" s="85" t="str">
        <x:v>1e7da8e0-a5c5-486b-acd9-53991f652a56.pdf</x:v>
      </x:c>
      <x:c r="L28" s="85" t="str">
        <x:v>Paid - bank matched</x:v>
      </x:c>
      <x:c r="M28" s="99" t="b">
        <x:v>0</x:v>
      </x:c>
    </x:row>
    <x:row r="29">
      <x:c r="A29" s="88" t="n">
        <x:v>46112</x:v>
      </x:c>
      <x:c r="B29" s="85" t="str">
        <x:v>Body Corp Group</x:v>
      </x:c>
      <x:c r="C29" s="85" t="str">
        <x:v>INV-3706</x:v>
      </x:c>
      <x:c r="D29" s="85" t="str">
        <x:v>Common area cleaning</x:v>
      </x:c>
      <x:c r="E29" s="85" t="str">
        <x:v>Administrative</x:v>
      </x:c>
      <x:c r="F29" s="85" t="str">
        <x:v>Cleaning</x:v>
      </x:c>
      <x:c r="G29" s="91" t="n">
        <x:f>I29-H29</x:f>
        <x:v>224</x:v>
      </x:c>
      <x:c r="H29" s="91" t="n">
        <x:v>22.4</x:v>
      </x:c>
      <x:c r="I29" s="91" t="n">
        <x:v>246.4</x:v>
      </x:c>
      <x:c r="J29" s="88" t="n">
        <x:v>46120</x:v>
      </x:c>
      <x:c r="K29" s="85" t="str">
        <x:v>3440ccdc-0fe2-4c10-8575-c6324a2e7bdd.pdf</x:v>
      </x:c>
      <x:c r="L29" s="85" t="str">
        <x:v>Paid - bank matched</x:v>
      </x:c>
      <x:c r="M29" s="99" t="b">
        <x:v>0</x:v>
      </x:c>
    </x:row>
    <x:row r="30">
      <x:c r="A30" s="88" t="n">
        <x:v>46114</x:v>
      </x:c>
      <x:c r="B30" s="85" t="str">
        <x:v>Oxley Gardening &amp; Property Maintenance</x:v>
      </x:c>
      <x:c r="C30" s="85" t="str">
        <x:v>INV-0021</x:v>
      </x:c>
      <x:c r="D30" s="85" t="str">
        <x:v>Ongoing yard maintenance</x:v>
      </x:c>
      <x:c r="E30" s="85" t="str">
        <x:v>Administrative</x:v>
      </x:c>
      <x:c r="F30" s="85" t="str">
        <x:v>Grounds</x:v>
      </x:c>
      <x:c r="G30" s="91" t="n">
        <x:f>I30-H30</x:f>
        <x:v>231.82</x:v>
      </x:c>
      <x:c r="H30" s="91" t="n">
        <x:v>23.18</x:v>
      </x:c>
      <x:c r="I30" s="91" t="n">
        <x:v>255</x:v>
      </x:c>
      <x:c r="J30" s="88" t="n">
        <x:v>46127</x:v>
      </x:c>
      <x:c r="K30" s="85" t="str">
        <x:v>9ede318f-5f86-49de-9afe-e3b04b75d670.pdf</x:v>
      </x:c>
      <x:c r="L30" s="85" t="str">
        <x:v>Paid - bank matched</x:v>
      </x:c>
      <x:c r="M30" s="99" t="b">
        <x:v>0</x:v>
      </x:c>
    </x:row>
    <x:row r="31">
      <x:c r="A31" s="88" t="n">
        <x:v>46120</x:v>
      </x:c>
      <x:c r="B31" s="85" t="str">
        <x:v>BAS Fire</x:v>
      </x:c>
      <x:c r="C31" s="85" t="str">
        <x:v>INV-46048</x:v>
      </x:c>
      <x:c r="D31" s="85" t="str">
        <x:v>Monthly essential fire services maintenance</x:v>
      </x:c>
      <x:c r="E31" s="85" t="str">
        <x:v>Administrative</x:v>
      </x:c>
      <x:c r="F31" s="85" t="str">
        <x:v>Fire systems</x:v>
      </x:c>
      <x:c r="G31" s="91" t="n">
        <x:f>I31-H31</x:f>
        <x:v>80.84</x:v>
      </x:c>
      <x:c r="H31" s="91" t="n">
        <x:v>8.08</x:v>
      </x:c>
      <x:c r="I31" s="91" t="n">
        <x:v>88.92</x:v>
      </x:c>
      <x:c r="J31" s="88" t="n">
        <x:v>46127</x:v>
      </x:c>
      <x:c r="K31" s="85" t="str">
        <x:v>da9eb9a0-be99-4d83-bdfb-e7c0fef345d8.pdf</x:v>
      </x:c>
      <x:c r="L31" s="85" t="str">
        <x:v>Paid - bank matched</x:v>
      </x:c>
      <x:c r="M31" s="99" t="b">
        <x:v>0</x:v>
      </x:c>
    </x:row>
    <x:row r="32">
      <x:c r="A32" s="88" t="n">
        <x:v>46136</x:v>
      </x:c>
      <x:c r="B32" s="85" t="str">
        <x:v>Oxley Gardening &amp; Property Maintenance</x:v>
      </x:c>
      <x:c r="C32" s="85" t="str">
        <x:v>INV-0024</x:v>
      </x:c>
      <x:c r="D32" s="85" t="str">
        <x:v>Ongoing yard maintenance</x:v>
      </x:c>
      <x:c r="E32" s="85" t="str">
        <x:v>Administrative</x:v>
      </x:c>
      <x:c r="F32" s="85" t="str">
        <x:v>Grounds</x:v>
      </x:c>
      <x:c r="G32" s="91" t="n">
        <x:f>I32-H32</x:f>
        <x:v>231.82</x:v>
      </x:c>
      <x:c r="H32" s="91" t="n">
        <x:v>23.18</x:v>
      </x:c>
      <x:c r="I32" s="91" t="n">
        <x:v>255</x:v>
      </x:c>
      <x:c r="J32" s="88" t="n">
        <x:v>46148</x:v>
      </x:c>
      <x:c r="K32" s="85" t="str">
        <x:v>adf691ac-52d9-46df-a890-1239fa5fa706.pdf</x:v>
      </x:c>
      <x:c r="L32" s="85" t="str">
        <x:v>Paid - bank matched</x:v>
      </x:c>
      <x:c r="M32" s="99" t="b">
        <x:v>0</x:v>
      </x:c>
    </x:row>
    <x:row r="33">
      <x:c r="A33" s="88" t="n">
        <x:v>46139</x:v>
      </x:c>
      <x:c r="B33" s="85" t="str">
        <x:v>DPX Projects</x:v>
      </x:c>
      <x:c r="C33" s="85" t="str">
        <x:v>000004224</x:v>
      </x:c>
      <x:c r="D33" s="85" t="str">
        <x:v>Project management of leak repairs and tender scopes</x:v>
      </x:c>
      <x:c r="E33" s="85" t="str">
        <x:v>Sinking</x:v>
      </x:c>
      <x:c r="F33" s="85" t="str">
        <x:v>Reports - engineers / project management</x:v>
      </x:c>
      <x:c r="G33" s="91" t="n">
        <x:f>I33-H33</x:f>
        <x:v>1800</x:v>
      </x:c>
      <x:c r="H33" s="91" t="n">
        <x:v>180</x:v>
      </x:c>
      <x:c r="I33" s="91" t="n">
        <x:v>1980</x:v>
      </x:c>
      <x:c r="J33" s="88" t="n">
        <x:v>46141</x:v>
      </x:c>
      <x:c r="K33" s="85" t="str">
        <x:v>2a3cccd6-aa01-40a0-be8e-e22be0aba9ad.pdf</x:v>
      </x:c>
      <x:c r="L33" s="85" t="str">
        <x:v>Paid - bank matched</x:v>
      </x:c>
      <x:c r="M33" s="99" t="b">
        <x:v>0</x:v>
      </x:c>
    </x:row>
    <x:row r="34">
      <x:c r="A34" s="88" t="n">
        <x:v>46142</x:v>
      </x:c>
      <x:c r="B34" s="85" t="str">
        <x:v>Body Corp Group</x:v>
      </x:c>
      <x:c r="C34" s="85" t="str">
        <x:v>INV-3763</x:v>
      </x:c>
      <x:c r="D34" s="85" t="str">
        <x:v>Monthly cleaning and gardening services</x:v>
      </x:c>
      <x:c r="E34" s="85" t="str">
        <x:v>Administrative</x:v>
      </x:c>
      <x:c r="F34" s="85" t="str">
        <x:v>Cleaning &amp; grounds</x:v>
      </x:c>
      <x:c r="G34" s="91" t="n">
        <x:f>I34-H34</x:f>
        <x:v>607</x:v>
      </x:c>
      <x:c r="H34" s="91" t="n">
        <x:v>60.7</x:v>
      </x:c>
      <x:c r="I34" s="91" t="n">
        <x:v>667.7</x:v>
      </x:c>
      <x:c r="J34" s="88" t="n">
        <x:v>46155</x:v>
      </x:c>
      <x:c r="K34" s="85" t="str">
        <x:v>c7bdea12-cf70-461d-8ae2-7e2a6630a78a.pdf</x:v>
      </x:c>
      <x:c r="L34" s="85" t="str">
        <x:v>Paid - bank matched</x:v>
      </x:c>
      <x:c r="M34" s="99" t="b">
        <x:v>0</x:v>
      </x:c>
    </x:row>
    <x:row r="35">
      <x:c r="A35" s="88" t="n">
        <x:v>46146</x:v>
      </x:c>
      <x:c r="B35" s="85" t="str">
        <x:v>MGI Adelaide</x:v>
      </x:c>
      <x:c r="C35" s="85" t="str">
        <x:v>INV-10579</x:v>
      </x:c>
      <x:c r="D35" s="85" t="str">
        <x:v>Strata plan not required form</x:v>
      </x:c>
      <x:c r="E35" s="85" t="str">
        <x:v>Administrative</x:v>
      </x:c>
      <x:c r="F35" s="85" t="str">
        <x:v>Accounting &amp; audit</x:v>
      </x:c>
      <x:c r="G35" s="91" t="n">
        <x:f>I35-H35</x:f>
        <x:v>160</x:v>
      </x:c>
      <x:c r="H35" s="91" t="n">
        <x:v>16</x:v>
      </x:c>
      <x:c r="I35" s="91" t="n">
        <x:v>176</x:v>
      </x:c>
      <x:c r="J35" s="88" t="n">
        <x:v>46155</x:v>
      </x:c>
      <x:c r="K35" s="85" t="str">
        <x:v>b84b8ad5-5faa-46b7-b6c2-270ca02992f4.pdf</x:v>
      </x:c>
      <x:c r="L35" s="85" t="str">
        <x:v>Paid - bank matched</x:v>
      </x:c>
      <x:c r="M35" s="99" t="b">
        <x:v>0</x:v>
      </x:c>
    </x:row>
    <x:row r="36">
      <x:c r="A36" s="88" t="n">
        <x:v>46146</x:v>
      </x:c>
      <x:c r="B36" s="85" t="str">
        <x:v>Origin Energy</x:v>
      </x:c>
      <x:c r="C36" s="85" t="str">
        <x:v>125646943</x:v>
      </x:c>
      <x:c r="D36" s="85" t="str">
        <x:v>Electricity supply</x:v>
      </x:c>
      <x:c r="E36" s="85" t="str">
        <x:v>Administrative</x:v>
      </x:c>
      <x:c r="F36" s="85" t="str">
        <x:v>Utilities - electricity</x:v>
      </x:c>
      <x:c r="G36" s="91" t="n">
        <x:f>I36-H36</x:f>
        <x:v>332.64</x:v>
      </x:c>
      <x:c r="H36" s="91" t="n">
        <x:v>33.26</x:v>
      </x:c>
      <x:c r="I36" s="91" t="n">
        <x:v>365.9</x:v>
      </x:c>
      <x:c r="J36" s="88" t="n">
        <x:v>46155</x:v>
      </x:c>
      <x:c r="K36" s="85" t="str">
        <x:v>afd87c76-90c1-4b51-a60c-d4e35d7239fa.pdf</x:v>
      </x:c>
      <x:c r="L36" s="85" t="str">
        <x:v>Paid - bank matched</x:v>
      </x:c>
      <x:c r="M36" s="99" t="b">
        <x:v>0</x:v>
      </x:c>
    </x:row>
    <x:row r="37">
      <x:c r="A37" s="88" t="n">
        <x:v>46146</x:v>
      </x:c>
      <x:c r="B37" s="85" t="str">
        <x:v>Sandstone Consulting</x:v>
      </x:c>
      <x:c r="C37" s="85" t="str">
        <x:v>93-97 Prim – 02 Rev A</x:v>
      </x:c>
      <x:c r="D37" s="85" t="str">
        <x:v>Engineering consultancy</x:v>
      </x:c>
      <x:c r="E37" s="85" t="str">
        <x:v>Sinking</x:v>
      </x:c>
      <x:c r="F37" s="85" t="str">
        <x:v>Reports - consultancy</x:v>
      </x:c>
      <x:c r="G37" s="91" t="n">
        <x:f>I37-H37</x:f>
        <x:v>2000</x:v>
      </x:c>
      <x:c r="H37" s="91" t="n">
        <x:v>200</x:v>
      </x:c>
      <x:c r="I37" s="91" t="n">
        <x:v>2200</x:v>
      </x:c>
      <x:c r="J37" s="88" t="n">
        <x:v>46155</x:v>
      </x:c>
      <x:c r="K37" s="85" t="str">
        <x:v>459ff2c6-6d8a-4ea3-bd84-c8cd5ba7e2da.pdf</x:v>
      </x:c>
      <x:c r="L37" s="85" t="str">
        <x:v>Paid - bank matched</x:v>
      </x:c>
      <x:c r="M37" s="99" t="b">
        <x:v>0</x:v>
      </x:c>
    </x:row>
    <x:row r="38">
      <x:c r="A38" s="88" t="n">
        <x:v>46150</x:v>
      </x:c>
      <x:c r="B38" s="85" t="str">
        <x:v>BAS Fire</x:v>
      </x:c>
      <x:c r="C38" s="85" t="str">
        <x:v>INV-46341</x:v>
      </x:c>
      <x:c r="D38" s="85" t="str">
        <x:v>Monthly essential fire services maintenance</x:v>
      </x:c>
      <x:c r="E38" s="85" t="str">
        <x:v>Administrative</x:v>
      </x:c>
      <x:c r="F38" s="85" t="str">
        <x:v>Fire systems</x:v>
      </x:c>
      <x:c r="G38" s="91" t="n">
        <x:f>I38-H38</x:f>
        <x:v>80.84</x:v>
      </x:c>
      <x:c r="H38" s="91" t="n">
        <x:v>8.08</x:v>
      </x:c>
      <x:c r="I38" s="91" t="n">
        <x:v>88.92</x:v>
      </x:c>
      <x:c r="J38" s="88" t="n">
        <x:v>46162</x:v>
      </x:c>
      <x:c r="K38" s="85" t="str">
        <x:v>97be84d5-6c14-4b37-9cd7-6677402241dd.pdf</x:v>
      </x:c>
      <x:c r="L38" s="85" t="str">
        <x:v>Paid - bank matched</x:v>
      </x:c>
      <x:c r="M38" s="99" t="b">
        <x:v>0</x:v>
      </x:c>
    </x:row>
    <x:row r="39">
      <x:c r="A39" s="88" t="n">
        <x:v>46155</x:v>
      </x:c>
      <x:c r="B39" s="85" t="str">
        <x:v>Rifle Pest Management</x:v>
      </x:c>
      <x:c r="C39" s="85" t="str">
        <x:v>INV-5804</x:v>
      </x:c>
      <x:c r="D39" s="85" t="str">
        <x:v>Pest control and termite inspection</x:v>
      </x:c>
      <x:c r="E39" s="85" t="str">
        <x:v>Administrative</x:v>
      </x:c>
      <x:c r="F39" s="85" t="str">
        <x:v>Pest control</x:v>
      </x:c>
      <x:c r="G39" s="91" t="n">
        <x:f>I39-H39</x:f>
        <x:v>86.36</x:v>
      </x:c>
      <x:c r="H39" s="91" t="n">
        <x:v>8.64</x:v>
      </x:c>
      <x:c r="I39" s="91" t="n">
        <x:v>95</x:v>
      </x:c>
      <x:c r="J39" s="88" t="n">
        <x:v>46162</x:v>
      </x:c>
      <x:c r="K39" s="85" t="str">
        <x:v>6472b04a-91d7-454e-8d48-ddda82934628.pdf</x:v>
      </x:c>
      <x:c r="L39" s="85" t="str">
        <x:v>Paid - bank matched</x:v>
      </x:c>
      <x:c r="M39" s="99" t="b">
        <x:v>0</x:v>
      </x:c>
    </x:row>
    <x:row r="40">
      <x:c r="A40" s="88" t="n">
        <x:v>46156</x:v>
      </x:c>
      <x:c r="B40" s="85" t="str">
        <x:v>Oxley Gardening &amp; Property Maintenance</x:v>
      </x:c>
      <x:c r="C40" s="85" t="str">
        <x:v>INV-0031</x:v>
      </x:c>
      <x:c r="D40" s="85" t="str">
        <x:v>Ongoing yard maintenance</x:v>
      </x:c>
      <x:c r="E40" s="85" t="str">
        <x:v>Administrative</x:v>
      </x:c>
      <x:c r="F40" s="85" t="str">
        <x:v>Grounds</x:v>
      </x:c>
      <x:c r="G40" s="91" t="n">
        <x:f>I40-H40</x:f>
        <x:v>231.82</x:v>
      </x:c>
      <x:c r="H40" s="91" t="n">
        <x:v>23.18</x:v>
      </x:c>
      <x:c r="I40" s="91" t="n">
        <x:v>255</x:v>
      </x:c>
      <x:c r="J40" s="88" t="n">
        <x:v>46162</x:v>
      </x:c>
      <x:c r="K40" s="85" t="str">
        <x:v>a716713a-3b7e-4e8e-9ef2-12acf57fdc6f.pdf</x:v>
      </x:c>
      <x:c r="L40" s="85" t="str">
        <x:v>Paid - bank matched</x:v>
      </x:c>
      <x:c r="M40" s="99" t="b">
        <x:v>0</x:v>
      </x:c>
    </x:row>
    <x:row r="41">
      <x:c r="A41" s="88" t="n">
        <x:v>46157</x:v>
      </x:c>
      <x:c r="B41" s="85" t="str">
        <x:v>DPX Projects</x:v>
      </x:c>
      <x:c r="C41" s="85" t="str">
        <x:v>000004263</x:v>
      </x:c>
      <x:c r="D41" s="85" t="str">
        <x:v>Project management / engineering report</x:v>
      </x:c>
      <x:c r="E41" s="85" t="str">
        <x:v>Sinking</x:v>
      </x:c>
      <x:c r="F41" s="85" t="str">
        <x:v>Reports - engineers / project management</x:v>
      </x:c>
      <x:c r="G41" s="91" t="n">
        <x:f>I41-H41</x:f>
        <x:v>1800</x:v>
      </x:c>
      <x:c r="H41" s="91" t="n">
        <x:v>180</x:v>
      </x:c>
      <x:c r="I41" s="91" t="n">
        <x:v>1980</x:v>
      </x:c>
      <x:c r="J41" s="88" t="n">
        <x:v>46190</x:v>
      </x:c>
      <x:c r="K41" s="85" t="str">
        <x:v>be66aa00-3ecb-4068-a92c-61c31b0a4556.pdf</x:v>
      </x:c>
      <x:c r="L41" s="85" t="str">
        <x:v>Paid - bank matched</x:v>
      </x:c>
      <x:c r="M41" s="99" t="b">
        <x:v>0</x:v>
      </x:c>
    </x:row>
    <x:row r="42">
      <x:c r="A42" s="88" t="n">
        <x:v>46164</x:v>
      </x:c>
      <x:c r="B42" s="85" t="str">
        <x:v>Hoffy's Garage Door Services</x:v>
      </x:c>
      <x:c r="C42" s="85" t="str">
        <x:v>INV-10689</x:v>
      </x:c>
      <x:c r="D42" s="85" t="str">
        <x:v>Garage door springs and shaft replacement</x:v>
      </x:c>
      <x:c r="E42" s="85" t="str">
        <x:v>Sinking</x:v>
      </x:c>
      <x:c r="F42" s="85" t="str">
        <x:v>Garage - capital repair</x:v>
      </x:c>
      <x:c r="G42" s="91" t="n">
        <x:f>I42-H42</x:f>
        <x:v>1135</x:v>
      </x:c>
      <x:c r="H42" s="91" t="n">
        <x:v>113.5</x:v>
      </x:c>
      <x:c r="I42" s="91" t="n">
        <x:v>1248.5</x:v>
      </x:c>
      <x:c r="J42" s="88" t="n">
        <x:v>46169</x:v>
      </x:c>
      <x:c r="K42" s="85" t="str">
        <x:v>b9f23366-699a-4825-bc61-15ac64a56cc8.pdf</x:v>
      </x:c>
      <x:c r="L42" s="85" t="str">
        <x:v>Paid - bank matched</x:v>
      </x:c>
      <x:c r="M42" s="99" t="b">
        <x:v>0</x:v>
      </x:c>
    </x:row>
    <x:row r="43">
      <x:c r="A43" s="88" t="n">
        <x:v>46173</x:v>
      </x:c>
      <x:c r="B43" s="85" t="str">
        <x:v>Body Corp Group</x:v>
      </x:c>
      <x:c r="C43" s="85" t="str">
        <x:v>INV-3905</x:v>
      </x:c>
      <x:c r="D43" s="85" t="str">
        <x:v>Monthly cleaning and gardening services</x:v>
      </x:c>
      <x:c r="E43" s="85" t="str">
        <x:v>Administrative</x:v>
      </x:c>
      <x:c r="F43" s="85" t="str">
        <x:v>Cleaning &amp; grounds</x:v>
      </x:c>
      <x:c r="G43" s="91" t="n">
        <x:f>I43-H43</x:f>
        <x:v>497.99999999999994</x:v>
      </x:c>
      <x:c r="H43" s="91" t="n">
        <x:v>49.8</x:v>
      </x:c>
      <x:c r="I43" s="91" t="n">
        <x:v>547.8</x:v>
      </x:c>
      <x:c r="J43" s="88" t="n">
        <x:v>46176</x:v>
      </x:c>
      <x:c r="K43" s="85" t="str">
        <x:v>767dbfd9-5b10-4cf1-a439-44b9f77c80d4.pdf</x:v>
      </x:c>
      <x:c r="L43" s="85" t="str">
        <x:v>Paid - bank matched</x:v>
      </x:c>
      <x:c r="M43" s="99" t="b">
        <x:v>0</x:v>
      </x:c>
    </x:row>
    <x:row r="44">
      <x:c r="A44" s="88" t="n">
        <x:v>46178</x:v>
      </x:c>
      <x:c r="B44" s="85" t="str">
        <x:v>Whittles Brisbane</x:v>
      </x:c>
      <x:c r="C44" s="85" t="str">
        <x:v>094896</x:v>
      </x:c>
      <x:c r="D44" s="85" t="str">
        <x:v>Ownership change and welcome pack</x:v>
      </x:c>
      <x:c r="E44" s="85" t="str">
        <x:v>Administrative</x:v>
      </x:c>
      <x:c r="F44" s="85" t="str">
        <x:v>Debt collection / owner recovery</x:v>
      </x:c>
      <x:c r="G44" s="91" t="n">
        <x:f>I44-H44</x:f>
        <x:v>40</x:v>
      </x:c>
      <x:c r="H44" s="91" t="n">
        <x:v>4</x:v>
      </x:c>
      <x:c r="I44" s="91" t="n">
        <x:v>44</x:v>
      </x:c>
      <x:c r="J44" s="88" t="n">
        <x:v>46189</x:v>
      </x:c>
      <x:c r="K44" s="85" t="str">
        <x:v>47354bf2-f72d-4f5d-b000-8c7290dad8ed.pdf</x:v>
      </x:c>
      <x:c r="L44" s="85" t="str">
        <x:v>Paid - bank matched</x:v>
      </x:c>
      <x:c r="M44" s="99" t="b">
        <x:v>0</x:v>
      </x:c>
    </x:row>
    <x:row r="45">
      <x:c r="A45" s="88" t="n">
        <x:v>46181</x:v>
      </x:c>
      <x:c r="B45" s="85" t="str">
        <x:v>BAS Fire</x:v>
      </x:c>
      <x:c r="C45" s="85" t="str">
        <x:v>INV-46697</x:v>
      </x:c>
      <x:c r="D45" s="85" t="str">
        <x:v>Monthly essential fire services maintenance</x:v>
      </x:c>
      <x:c r="E45" s="85" t="str">
        <x:v>Administrative</x:v>
      </x:c>
      <x:c r="F45" s="85" t="str">
        <x:v>Fire systems</x:v>
      </x:c>
      <x:c r="G45" s="91" t="n">
        <x:f>I45-H45</x:f>
        <x:v>80.84</x:v>
      </x:c>
      <x:c r="H45" s="91" t="n">
        <x:v>8.08</x:v>
      </x:c>
      <x:c r="I45" s="91" t="n">
        <x:v>88.92</x:v>
      </x:c>
      <x:c r="J45" s="88" t="n">
        <x:v>46190</x:v>
      </x:c>
      <x:c r="K45" s="85" t="str">
        <x:v>82b8a553-c8d3-4c0b-bbe9-eada83bee5bb.pdf</x:v>
      </x:c>
      <x:c r="L45" s="85" t="str">
        <x:v>Paid - bank matched</x:v>
      </x:c>
      <x:c r="M45" s="99" t="b">
        <x:v>0</x:v>
      </x:c>
    </x:row>
    <x:row r="46">
      <x:c r="A46" s="88" t="n">
        <x:v>46188</x:v>
      </x:c>
      <x:c r="B46" s="85" t="str">
        <x:v>BAS Fire</x:v>
      </x:c>
      <x:c r="C46" s="85" t="str">
        <x:v>INV-46480</x:v>
      </x:c>
      <x:c r="D46" s="85" t="str">
        <x:v>Annual declaration and occupiers statement</x:v>
      </x:c>
      <x:c r="E46" s="85" t="str">
        <x:v>Administrative</x:v>
      </x:c>
      <x:c r="F46" s="85" t="str">
        <x:v>Fire systems</x:v>
      </x:c>
      <x:c r="G46" s="91" t="n">
        <x:f>I46-H46</x:f>
        <x:v>100</x:v>
      </x:c>
      <x:c r="H46" s="91" t="n">
        <x:v>10</x:v>
      </x:c>
      <x:c r="I46" s="91" t="n">
        <x:v>110</x:v>
      </x:c>
      <x:c r="J46" s="88" t="n">
        <x:v>46197</x:v>
      </x:c>
      <x:c r="K46" s="85" t="str">
        <x:v>c330ec33-cd50-463d-85af-a81f911acc68.pdf</x:v>
      </x:c>
      <x:c r="L46" s="85" t="str">
        <x:v>Paid - bank matched</x:v>
      </x:c>
      <x:c r="M46" s="99" t="b">
        <x:v>0</x:v>
      </x:c>
    </x:row>
    <x:row r="47">
      <x:c r="A47" s="88" t="n">
        <x:v>46203</x:v>
      </x:c>
      <x:c r="B47" s="85" t="str">
        <x:v>Body Corp Group</x:v>
      </x:c>
      <x:c r="C47" s="85" t="str">
        <x:v>INV-3981</x:v>
      </x:c>
      <x:c r="D47" s="85" t="str">
        <x:v>Monthly cleaning and gardening services</x:v>
      </x:c>
      <x:c r="E47" s="85" t="str">
        <x:v>Administrative</x:v>
      </x:c>
      <x:c r="F47" s="85" t="str">
        <x:v>Cleaning &amp; grounds</x:v>
      </x:c>
      <x:c r="G47" s="91" t="n">
        <x:f>I47-H47</x:f>
        <x:v>497.99999999999994</x:v>
      </x:c>
      <x:c r="H47" s="91" t="n">
        <x:v>49.8</x:v>
      </x:c>
      <x:c r="I47" s="91" t="n">
        <x:v>547.8</x:v>
      </x:c>
      <x:c r="J47" s="88" t="n">
        <x:v>46211</x:v>
      </x:c>
      <x:c r="K47" s="85" t="str">
        <x:v>31539a58-e5ee-4165-90ba-8f7186ad20ad.pdf</x:v>
      </x:c>
      <x:c r="L47" s="85" t="str">
        <x:v>Paid - bank matched</x:v>
      </x:c>
      <x:c r="M47" s="99" t="b">
        <x:v>0</x:v>
      </x:c>
    </x:row>
    <x:row r="48">
      <x:c r="A48" s="88" t="n">
        <x:v>46203</x:v>
      </x:c>
      <x:c r="B48" s="85" t="str">
        <x:v>DPX Projects</x:v>
      </x:c>
      <x:c r="C48" s="85" t="str">
        <x:v>000004307</x:v>
      </x:c>
      <x:c r="D48" s="85" t="str">
        <x:v>Project management phase 2 and second mobilisation</x:v>
      </x:c>
      <x:c r="E48" s="85" t="str">
        <x:v>Sinking</x:v>
      </x:c>
      <x:c r="F48" s="85" t="str">
        <x:v>Reports - engineers / project management</x:v>
      </x:c>
      <x:c r="G48" s="91" t="n">
        <x:f>I48-H48</x:f>
        <x:v>2050</x:v>
      </x:c>
      <x:c r="H48" s="91" t="n">
        <x:v>205</x:v>
      </x:c>
      <x:c r="I48" s="91" t="n">
        <x:v>2255</x:v>
      </x:c>
      <x:c r="J48" s="88" t="n">
        <x:v>46211</x:v>
      </x:c>
      <x:c r="K48" s="85" t="str">
        <x:v>0fb75870-e7cc-4293-af6b-1ccb44f6e893.pdf</x:v>
      </x:c>
      <x:c r="L48" s="85" t="str">
        <x:v>Paid - bank matched</x:v>
      </x:c>
      <x:c r="M48" s="99" t="b">
        <x:v>0</x:v>
      </x:c>
    </x:row>
    <x:row r="49">
      <x:c r="A49" s="88" t="n">
        <x:v>46209</x:v>
      </x:c>
      <x:c r="B49" s="85" t="str">
        <x:v>Whittles Brisbane</x:v>
      </x:c>
      <x:c r="C49" s="85" t="str">
        <x:v>096314</x:v>
      </x:c>
      <x:c r="D49" s="85" t="str">
        <x:v>Final notice fee</x:v>
      </x:c>
      <x:c r="E49" s="85" t="str">
        <x:v>Administrative</x:v>
      </x:c>
      <x:c r="F49" s="85" t="str">
        <x:v>Debt collection / owner recovery</x:v>
      </x:c>
      <x:c r="G49" s="91" t="n">
        <x:f>I49-H49</x:f>
        <x:v>20</x:v>
      </x:c>
      <x:c r="H49" s="91" t="n">
        <x:v>2</x:v>
      </x:c>
      <x:c r="I49" s="91" t="n">
        <x:v>22</x:v>
      </x:c>
      <x:c r="J49" s="88" t="n">
        <x:v>46210</x:v>
      </x:c>
      <x:c r="K49" s="85" t="str">
        <x:v>be350bcd-9278-428d-bbb5-481cb7532f50.pdf</x:v>
      </x:c>
      <x:c r="L49" s="85" t="str">
        <x:v>Paid - bank matched</x:v>
      </x:c>
      <x:c r="M49" s="99" t="b">
        <x:v>0</x:v>
      </x:c>
    </x:row>
    <x:row r="50">
      <x:c r="A50" s="88" t="n">
        <x:v>46211</x:v>
      </x:c>
      <x:c r="B50" s="85" t="str">
        <x:v>BAS Fire</x:v>
      </x:c>
      <x:c r="C50" s="85" t="str">
        <x:v>INV-46904</x:v>
      </x:c>
      <x:c r="D50" s="85" t="str">
        <x:v>Monthly essential fire services maintenance</x:v>
      </x:c>
      <x:c r="E50" s="85" t="str">
        <x:v>Administrative</x:v>
      </x:c>
      <x:c r="F50" s="85" t="str">
        <x:v>Fire systems</x:v>
      </x:c>
      <x:c r="G50" s="91" t="n">
        <x:f>I50-H50</x:f>
        <x:v>80.84</x:v>
      </x:c>
      <x:c r="H50" s="91" t="n">
        <x:v>8.08</x:v>
      </x:c>
      <x:c r="I50" s="91" t="n">
        <x:v>88.92</x:v>
      </x:c>
      <x:c r="J50" s="88" t="n">
        <x:v>46218</x:v>
      </x:c>
      <x:c r="K50" s="85" t="str">
        <x:v>3d7d7bce-bf3d-491b-969b-5baadabfee30.pdf</x:v>
      </x:c>
      <x:c r="L50" s="85" t="str">
        <x:v>Paid - bank matched</x:v>
      </x:c>
      <x:c r="M50" s="99" t="b">
        <x:v>0</x:v>
      </x:c>
    </x:row>
    <x:row r="51">
      <x:c r="A51" s="88" t="n">
        <x:v>46224</x:v>
      </x:c>
      <x:c r="B51" s="85" t="str">
        <x:v>Solutions in Fire</x:v>
      </x:c>
      <x:c r="C51" s="85" t="str">
        <x:v>376850</x:v>
      </x:c>
      <x:c r="D51" s="85" t="str">
        <x:v>Evacuation plan, practice and occupiers statement</x:v>
      </x:c>
      <x:c r="E51" s="85" t="str">
        <x:v>Administrative</x:v>
      </x:c>
      <x:c r="F51" s="85" t="str">
        <x:v>Fire systems</x:v>
      </x:c>
      <x:c r="G51" s="91" t="n">
        <x:f>I51-H51</x:f>
        <x:v>560</x:v>
      </x:c>
      <x:c r="H51" s="91" t="n">
        <x:v>56</x:v>
      </x:c>
      <x:c r="I51" s="91" t="n">
        <x:v>616</x:v>
      </x:c>
      <x:c r="J51" s="88" t="n">
        <x:v>46232</x:v>
      </x:c>
      <x:c r="K51" s="85" t="str">
        <x:v>97149dfd-a513-4e08-ae60-e3def2cc0ec4.pdf</x:v>
      </x:c>
      <x:c r="L51" s="85" t="str">
        <x:v>Paid - bank matched</x:v>
      </x:c>
      <x:c r="M51" s="99" t="b">
        <x:v>0</x:v>
      </x:c>
    </x:row>
    <x:row r="52">
      <x:c r="A52" s="88" t="n">
        <x:v>46230</x:v>
      </x:c>
      <x:c r="B52" s="85" t="str">
        <x:v>Backflow Plumbing Services Qld</x:v>
      </x:c>
      <x:c r="C52" s="85" t="str">
        <x:v>INV00001943</x:v>
      </x:c>
      <x:c r="D52" s="85" t="str">
        <x:v>Backflow test and certification</x:v>
      </x:c>
      <x:c r="E52" s="85" t="str">
        <x:v>Administrative</x:v>
      </x:c>
      <x:c r="F52" s="85" t="str">
        <x:v>Plumbing - backflow testing</x:v>
      </x:c>
      <x:c r="G52" s="91" t="n">
        <x:f>I52-H52</x:f>
        <x:v>140</x:v>
      </x:c>
      <x:c r="H52" s="91" t="n">
        <x:v>14</x:v>
      </x:c>
      <x:c r="I52" s="91" t="n">
        <x:v>154</x:v>
      </x:c>
      <x:c r="J52" s="88" t="n">
        <x:v>46232</x:v>
      </x:c>
      <x:c r="K52" s="85" t="str">
        <x:v>400b4f56-6fa1-4564-9822-1c7330936bef.pdf</x:v>
      </x:c>
      <x:c r="L52" s="85" t="str">
        <x:v>Paid - bank matched</x:v>
      </x:c>
      <x:c r="M52" s="99" t="b">
        <x:v>0</x:v>
      </x:c>
    </x:row>
    <x:row r="53">
      <x:c r="A53" s="88" t="n">
        <x:v>46234</x:v>
      </x:c>
      <x:c r="B53" s="85" t="str">
        <x:v>Body Corp Group</x:v>
      </x:c>
      <x:c r="C53" s="85" t="str">
        <x:v>INV-4058</x:v>
      </x:c>
      <x:c r="D53" s="85" t="str">
        <x:v>Monthly cleaning and gardening services</x:v>
      </x:c>
      <x:c r="E53" s="85" t="str">
        <x:v>Administrative</x:v>
      </x:c>
      <x:c r="F53" s="85" t="str">
        <x:v>Cleaning &amp; grounds</x:v>
      </x:c>
      <x:c r="G53" s="91" t="n">
        <x:f>I53-H53</x:f>
        <x:v>497.99999999999994</x:v>
      </x:c>
      <x:c r="H53" s="91" t="n">
        <x:v>49.8</x:v>
      </x:c>
      <x:c r="I53" s="91" t="n">
        <x:v>547.8</x:v>
      </x:c>
      <x:c r="J53" s="88"/>
      <x:c r="K53" s="85" t="str">
        <x:v>0756fb18-2942-43b4-8a26-6516e142e44d.pdf</x:v>
      </x:c>
      <x:c r="L53" s="85" t="str">
        <x:v>Unmatched</x:v>
      </x:c>
      <x:c r="M53" s="99" t="b">
        <x:v>0</x:v>
      </x:c>
    </x:row>
    <x:row r="54">
      <x:c r="A54" s="88" t="n">
        <x:v>46234</x:v>
      </x:c>
      <x:c r="B54" s="85" t="str">
        <x:v>Origin Energy</x:v>
      </x:c>
      <x:c r="C54" s="85" t="str">
        <x:v>131612183</x:v>
      </x:c>
      <x:c r="D54" s="85" t="str">
        <x:v>Electricity supply</x:v>
      </x:c>
      <x:c r="E54" s="85" t="str">
        <x:v>Administrative</x:v>
      </x:c>
      <x:c r="F54" s="85" t="str">
        <x:v>Utilities - electricity</x:v>
      </x:c>
      <x:c r="G54" s="91" t="n">
        <x:f>I54-H54</x:f>
        <x:v>361.05</x:v>
      </x:c>
      <x:c r="H54" s="91" t="n">
        <x:v>36.11</x:v>
      </x:c>
      <x:c r="I54" s="91" t="n">
        <x:v>397.16</x:v>
      </x:c>
      <x:c r="J54" s="88"/>
      <x:c r="K54" s="85" t="str">
        <x:v>93861924-5e90-455a-b033-377e92dfdc11.pdf</x:v>
      </x:c>
      <x:c r="L54" s="85" t="str">
        <x:v>Unmatched</x:v>
      </x:c>
      <x:c r="M54" s="99" t="b">
        <x:v>0</x:v>
      </x:c>
    </x:row>
    <x:row r="55">
      <x:c r="A55" s="88" t="n">
        <x:v>46242</x:v>
      </x:c>
      <x:c r="B55" s="85" t="str">
        <x:v>BAS Fire</x:v>
      </x:c>
      <x:c r="C55" s="85" t="str">
        <x:v>INV-47111</x:v>
      </x:c>
      <x:c r="D55" s="85" t="str">
        <x:v>Monthly essential fire services maintenance</x:v>
      </x:c>
      <x:c r="E55" s="85" t="str">
        <x:v>Administrative</x:v>
      </x:c>
      <x:c r="F55" s="85" t="str">
        <x:v>Fire systems</x:v>
      </x:c>
      <x:c r="G55" s="91" t="n">
        <x:f>I55-H55</x:f>
        <x:v>80.84</x:v>
      </x:c>
      <x:c r="H55" s="91" t="n">
        <x:v>8.08</x:v>
      </x:c>
      <x:c r="I55" s="91" t="n">
        <x:v>88.92</x:v>
      </x:c>
      <x:c r="J55" s="88"/>
      <x:c r="K55" s="85" t="str">
        <x:v>be93843f-ae64-4c2c-a63c-1d0948772cfc.pdf</x:v>
      </x:c>
      <x:c r="L55" s="85" t="str">
        <x:v>After latest bank statement</x:v>
      </x:c>
      <x:c r="M55" s="99" t="b">
        <x:v>0</x:v>
      </x:c>
    </x:row>
    <x:row r="56">
      <x:c r="A56" s="88" t="n">
        <x:v>46244</x:v>
      </x:c>
      <x:c r="B56" s="85" t="str">
        <x:v>Whittles Brisbane</x:v>
      </x:c>
      <x:c r="C56" s="85" t="str">
        <x:v>097595</x:v>
      </x:c>
      <x:c r="D56" s="85" t="str">
        <x:v>Final notice fee</x:v>
      </x:c>
      <x:c r="E56" s="85" t="str">
        <x:v>Administrative</x:v>
      </x:c>
      <x:c r="F56" s="85" t="str">
        <x:v>Debt collection / owner recovery</x:v>
      </x:c>
      <x:c r="G56" s="91" t="n">
        <x:f>I56-H56</x:f>
        <x:v>20</x:v>
      </x:c>
      <x:c r="H56" s="91" t="n">
        <x:v>2</x:v>
      </x:c>
      <x:c r="I56" s="91" t="n">
        <x:v>22</x:v>
      </x:c>
      <x:c r="J56" s="88"/>
      <x:c r="K56" s="85" t="str">
        <x:v>5bfb98c6-452e-483e-bfb8-72c89548af3c.pdf</x:v>
      </x:c>
      <x:c r="L56" s="85" t="str">
        <x:v>After latest bank statement</x:v>
      </x:c>
      <x:c r="M56" s="99" t="b">
        <x:v>0</x:v>
      </x:c>
    </x:row>
    <x:row r="57">
      <x:c r="A57" s="89" t="n">
        <x:v>46251</x:v>
      </x:c>
      <x:c r="B57" s="86" t="str">
        <x:v>Whittles Brisbane</x:v>
      </x:c>
      <x:c r="C57" s="86" t="str">
        <x:v>097744</x:v>
      </x:c>
      <x:c r="D57" s="86" t="str">
        <x:v>Informal committee meeting and work-order fee</x:v>
      </x:c>
      <x:c r="E57" s="86" t="str">
        <x:v>Administrative</x:v>
      </x:c>
      <x:c r="F57" s="86" t="str">
        <x:v>Management - additional services</x:v>
      </x:c>
      <x:c r="G57" s="92" t="n">
        <x:f>I57-H57</x:f>
        <x:v>277.27</x:v>
      </x:c>
      <x:c r="H57" s="92" t="n">
        <x:v>27.73</x:v>
      </x:c>
      <x:c r="I57" s="92" t="n">
        <x:v>305</x:v>
      </x:c>
      <x:c r="J57" s="89"/>
      <x:c r="K57" s="86" t="str">
        <x:v>0e69d7ef-7ec0-4c8d-8519-472a05d0a93e.pdf</x:v>
      </x:c>
      <x:c r="L57" s="86" t="str">
        <x:v>After latest bank statement</x:v>
      </x:c>
      <x:c r="M57" s="100" t="b">
        <x:v>0</x:v>
      </x:c>
    </x:row>
  </x:sheetData>
  <x:mergeCells>
    <x:mergeCell ref="A1:M1"/>
    <x:mergeCell ref="A2:M2"/>
  </x:mergeCells>
  <x:dataValidations count="1">
    <x:dataValidation type="list" sqref="E5:E57">
      <x:formula1>"Administrative,Sinking,Unallocated"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0e9568e77249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13" t="str">
        <x:v>As of</x:v>
      </x:c>
      <x:c r="B1" s="30" t="str">
        <x:v>Admin Cash</x:v>
      </x:c>
      <x:c r="C1" s="30" t="str">
        <x:v>Sinking Cash</x:v>
      </x:c>
      <x:c r="D1" s="30" t="str">
        <x:v>Combined Cash</x:v>
      </x:c>
      <x:c r="E1" s="30" t="str">
        <x:v>Admin Income YTD</x:v>
      </x:c>
      <x:c r="F1" s="30" t="str">
        <x:v>Admin Expense YTD</x:v>
      </x:c>
      <x:c r="G1" s="30" t="str">
        <x:v>Sinking Income YTD</x:v>
      </x:c>
      <x:c r="H1" s="14" t="str">
        <x:v>Sinking Expense YTD</x:v>
      </x:c>
    </x:row>
    <x:row r="2">
      <x:c r="A2" s="87" t="n">
        <x:v>46053</x:v>
      </x:c>
      <x:c r="B2" s="90" t="n">
        <x:v>24821.77</x:v>
      </x:c>
      <x:c r="C2" s="90" t="n">
        <x:v>98909.81</x:v>
      </x:c>
      <x:c r="D2" s="90" t="n">
        <x:v>123731.58</x:v>
      </x:c>
      <x:c r="E2" s="90" t="n">
        <x:v>0</x:v>
      </x:c>
      <x:c r="F2" s="90" t="n">
        <x:v>2721.56</x:v>
      </x:c>
      <x:c r="G2" s="90" t="n">
        <x:v>0</x:v>
      </x:c>
      <x:c r="H2" s="90" t="n">
        <x:v>4683.02</x:v>
      </x:c>
    </x:row>
    <x:row r="3">
      <x:c r="A3" s="88" t="n">
        <x:v>46081</x:v>
      </x:c>
      <x:c r="B3" s="91" t="n">
        <x:v>11775.03</x:v>
      </x:c>
      <x:c r="C3" s="91" t="n">
        <x:v>126654.71</x:v>
      </x:c>
      <x:c r="D3" s="91" t="n">
        <x:v>138429.74</x:v>
      </x:c>
      <x:c r="E3" s="91" t="n">
        <x:v>6419.87</x:v>
      </x:c>
      <x:c r="F3" s="91" t="n">
        <x:v>18280.42</x:v>
      </x:c>
      <x:c r="G3" s="91" t="n">
        <x:v>106849.48</x:v>
      </x:c>
      <x:c r="H3" s="91" t="n">
        <x:v>6602.52</x:v>
      </x:c>
    </x:row>
    <x:row r="4">
      <x:c r="A4" s="88" t="n">
        <x:v>46112</x:v>
      </x:c>
      <x:c r="B4" s="91" t="n">
        <x:v>10014.55</x:v>
      </x:c>
      <x:c r="C4" s="91" t="n">
        <x:v>126943.15</x:v>
      </x:c>
      <x:c r="D4" s="91" t="n">
        <x:v>136957.7</x:v>
      </x:c>
      <x:c r="E4" s="91" t="n">
        <x:v>6419.87</x:v>
      </x:c>
      <x:c r="F4" s="91" t="n">
        <x:v>20040.9</x:v>
      </x:c>
      <x:c r="G4" s="91" t="n">
        <x:v>106849.48</x:v>
      </x:c>
      <x:c r="H4" s="91" t="n">
        <x:v>6602.52</x:v>
      </x:c>
    </x:row>
    <x:row r="5">
      <x:c r="A5" s="88" t="n">
        <x:v>46142</x:v>
      </x:c>
      <x:c r="B5" s="91" t="n">
        <x:v>8753.67</x:v>
      </x:c>
      <x:c r="C5" s="91" t="n">
        <x:v>124908.15</x:v>
      </x:c>
      <x:c r="D5" s="91" t="n">
        <x:v>133661.82</x:v>
      </x:c>
      <x:c r="E5" s="91" t="n">
        <x:v>6419.87</x:v>
      </x:c>
      <x:c r="F5" s="91" t="n">
        <x:v>21301.78</x:v>
      </x:c>
      <x:c r="G5" s="91" t="n">
        <x:v>106849.48</x:v>
      </x:c>
      <x:c r="H5" s="91" t="n">
        <x:v>8637.52</x:v>
      </x:c>
    </x:row>
    <x:row r="6">
      <x:c r="A6" s="88" t="n">
        <x:v>46173</x:v>
      </x:c>
      <x:c r="B6" s="91" t="n">
        <x:v>12338.16</x:v>
      </x:c>
      <x:c r="C6" s="91" t="n">
        <x:v>127219.65</x:v>
      </x:c>
      <x:c r="D6" s="91" t="n">
        <x:v>139557.81</x:v>
      </x:c>
      <x:c r="E6" s="91" t="n">
        <x:v>15819.87</x:v>
      </x:c>
      <x:c r="F6" s="91" t="n">
        <x:v>24917.29</x:v>
      </x:c>
      <x:c r="G6" s="91" t="n">
        <x:v>114369.48</x:v>
      </x:c>
      <x:c r="H6" s="91" t="n">
        <x:v>12086.02</x:v>
      </x:c>
    </x:row>
    <x:row r="7">
      <x:c r="A7" s="88" t="n">
        <x:v>46203</x:v>
      </x:c>
      <x:c r="B7" s="91" t="n">
        <x:v>17464.53</x:v>
      </x:c>
      <x:c r="C7" s="91" t="n">
        <x:v>130319.65</x:v>
      </x:c>
      <x:c r="D7" s="91" t="n">
        <x:v>147784.18</x:v>
      </x:c>
      <x:c r="E7" s="91" t="n">
        <x:v>15619.87</x:v>
      </x:c>
      <x:c r="F7" s="91" t="n">
        <x:v>26580</x:v>
      </x:c>
      <x:c r="G7" s="91" t="n">
        <x:v>114208.71</x:v>
      </x:c>
      <x:c r="H7" s="91" t="n">
        <x:v>14066.02</x:v>
      </x:c>
    </x:row>
    <x:row r="8">
      <x:c r="A8" s="89" t="n">
        <x:v>46234</x:v>
      </x:c>
      <x:c r="B8" s="92" t="n">
        <x:v>19818.82</x:v>
      </x:c>
      <x:c r="C8" s="92" t="n">
        <x:v>130984.65</x:v>
      </x:c>
      <x:c r="D8" s="92" t="n">
        <x:v>150803.47</x:v>
      </x:c>
      <x:c r="E8" s="92" t="n">
        <x:v>24901.92</x:v>
      </x:c>
      <x:c r="F8" s="92" t="n">
        <x:v>28483.71</x:v>
      </x:c>
      <x:c r="G8" s="92" t="n">
        <x:v>121408.71</x:v>
      </x:c>
      <x:c r="H8" s="92" t="n">
        <x:v>16321.02</x:v>
      </x:c>
    </x:row>
  </x:sheetData>
  <x:pageMargins left="0.7" right="0.7" top="0.75" bottom="0.75" header="0.3" footer="0.3"/>
  <x:tableParts count="1">
    <x:tablePart xmlns:r="http://schemas.openxmlformats.org/officeDocument/2006/relationships" r:id="R4da55147b4a14f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</x:cols>
  <x:sheetData>
    <x:row r="1" ht="34" customHeight="1">
      <x:c r="A1" s="3" t="str">
        <x:v>Document Register</x:v>
      </x:c>
      <x:c r="B1" s="3" t="str">
        <x:v>Document Register</x:v>
      </x:c>
      <x:c r="C1" s="3" t="str">
        <x:v>Document Register</x:v>
      </x:c>
      <x:c r="D1" s="3" t="str">
        <x:v>Document Register</x:v>
      </x:c>
      <x:c r="E1" s="3" t="str">
        <x:v>Document Register</x:v>
      </x:c>
      <x:c r="F1" s="3" t="str">
        <x:v>Document Register</x:v>
      </x:c>
      <x:c r="G1" s="3" t="str">
        <x:v>Document Register</x:v>
      </x:c>
    </x:row>
    <x:row r="2" ht="26" customHeight="1">
      <x:c r="A2" s="6" t="str">
        <x:v>Every supplied PDF, including duplicates, supporting reports and documents requiring manual visual extraction.</x:v>
      </x:c>
      <x:c r="B2" s="6" t="str">
        <x:v>Every supplied PDF, including duplicates, supporting reports and documents requiring manual visual extraction.</x:v>
      </x:c>
      <x:c r="C2" s="6" t="str">
        <x:v>Every supplied PDF, including duplicates, supporting reports and documents requiring manual visual extraction.</x:v>
      </x:c>
      <x:c r="D2" s="6" t="str">
        <x:v>Every supplied PDF, including duplicates, supporting reports and documents requiring manual visual extraction.</x:v>
      </x:c>
      <x:c r="E2" s="6" t="str">
        <x:v>Every supplied PDF, including duplicates, supporting reports and documents requiring manual visual extraction.</x:v>
      </x:c>
      <x:c r="F2" s="6" t="str">
        <x:v>Every supplied PDF, including duplicates, supporting reports and documents requiring manual visual extraction.</x:v>
      </x:c>
      <x:c r="G2" s="6" t="str">
        <x:v>Every supplied PDF, including duplicates, supporting reports and documents requiring manual visual extraction.</x:v>
      </x:c>
    </x:row>
    <x:row r="4" ht="28" customHeight="1">
      <x:c r="A4" s="13" t="str">
        <x:v>Source PDF</x:v>
      </x:c>
      <x:c r="B4" s="30" t="str">
        <x:v>Document Type</x:v>
      </x:c>
      <x:c r="C4" s="30" t="str">
        <x:v>Pages</x:v>
      </x:c>
      <x:c r="D4" s="30" t="str">
        <x:v>File Size (KB)</x:v>
      </x:c>
      <x:c r="E4" s="30" t="str">
        <x:v>Text Length</x:v>
      </x:c>
      <x:c r="F4" s="30" t="str">
        <x:v>Duplicate Text</x:v>
      </x:c>
      <x:c r="G4" s="14" t="str">
        <x:v>Extraction Status</x:v>
      </x:c>
    </x:row>
    <x:row r="5">
      <x:c r="A5" s="84" t="str">
        <x:v>02c86cbb-db67-40f8-b552-8f70c45385aa.pdf</x:v>
      </x:c>
      <x:c r="B5" s="84" t="str">
        <x:v>Bank statement</x:v>
      </x:c>
      <x:c r="C5" s="84" t="n">
        <x:v>2</x:v>
      </x:c>
      <x:c r="D5" s="84" t="n">
        <x:v>12</x:v>
      </x:c>
      <x:c r="E5" s="84" t="n">
        <x:v>3797</x:v>
      </x:c>
      <x:c r="F5" s="98" t="b">
        <x:v>0</x:v>
      </x:c>
      <x:c r="G5" s="84" t="str">
        <x:v>Extracted</x:v>
      </x:c>
    </x:row>
    <x:row r="6">
      <x:c r="A6" s="85" t="str">
        <x:v>0756fb18-2942-43b4-8a26-6516e142e44d.pdf</x:v>
      </x:c>
      <x:c r="B6" s="85" t="str">
        <x:v>Invoice / payment advice</x:v>
      </x:c>
      <x:c r="C6" s="85" t="n">
        <x:v>1</x:v>
      </x:c>
      <x:c r="D6" s="85" t="n">
        <x:v>58</x:v>
      </x:c>
      <x:c r="E6" s="85" t="n">
        <x:v>1003</x:v>
      </x:c>
      <x:c r="F6" s="99" t="b">
        <x:v>0</x:v>
      </x:c>
      <x:c r="G6" s="85" t="str">
        <x:v>Extracted</x:v>
      </x:c>
    </x:row>
    <x:row r="7">
      <x:c r="A7" s="85" t="str">
        <x:v>0e69d7ef-7ec0-4c8d-8519-472a05d0a93e.pdf</x:v>
      </x:c>
      <x:c r="B7" s="85" t="str">
        <x:v>Invoice</x:v>
      </x:c>
      <x:c r="C7" s="85" t="n">
        <x:v>1</x:v>
      </x:c>
      <x:c r="D7" s="85" t="n">
        <x:v>57</x:v>
      </x:c>
      <x:c r="E7" s="85" t="n">
        <x:v>578</x:v>
      </x:c>
      <x:c r="F7" s="99" t="b">
        <x:v>0</x:v>
      </x:c>
      <x:c r="G7" s="85" t="str">
        <x:v>Extracted</x:v>
      </x:c>
    </x:row>
    <x:row r="8">
      <x:c r="A8" s="85" t="str">
        <x:v>0fb75870-e7cc-4293-af6b-1ccb44f6e893.pdf</x:v>
      </x:c>
      <x:c r="B8" s="85" t="str">
        <x:v>Scanned invoice / notice</x:v>
      </x:c>
      <x:c r="C8" s="85" t="n">
        <x:v>1</x:v>
      </x:c>
      <x:c r="D8" s="85" t="n">
        <x:v>515</x:v>
      </x:c>
      <x:c r="E8" s="85" t="n">
        <x:v>0</x:v>
      </x:c>
      <x:c r="F8" s="99" t="b">
        <x:v>0</x:v>
      </x:c>
      <x:c r="G8" s="85" t="str">
        <x:v>Manual review</x:v>
      </x:c>
    </x:row>
    <x:row r="9">
      <x:c r="A9" s="85" t="str">
        <x:v>18b509dc-ed63-476a-8afd-b7e775ecc52f.pdf</x:v>
      </x:c>
      <x:c r="B9" s="85" t="str">
        <x:v>Financial report</x:v>
      </x:c>
      <x:c r="C9" s="85" t="n">
        <x:v>7</x:v>
      </x:c>
      <x:c r="D9" s="85" t="n">
        <x:v>56</x:v>
      </x:c>
      <x:c r="E9" s="85" t="n">
        <x:v>8813</x:v>
      </x:c>
      <x:c r="F9" s="99" t="b">
        <x:v>1</x:v>
      </x:c>
      <x:c r="G9" s="85" t="str">
        <x:v>Extracted</x:v>
      </x:c>
    </x:row>
    <x:row r="10">
      <x:c r="A10" s="85" t="str">
        <x:v>1e7da8e0-a5c5-486b-acd9-53991f652a56.pdf</x:v>
      </x:c>
      <x:c r="B10" s="85" t="str">
        <x:v>Invoice</x:v>
      </x:c>
      <x:c r="C10" s="85" t="n">
        <x:v>1</x:v>
      </x:c>
      <x:c r="D10" s="85" t="n">
        <x:v>67</x:v>
      </x:c>
      <x:c r="E10" s="85" t="n">
        <x:v>1446</x:v>
      </x:c>
      <x:c r="F10" s="99" t="b">
        <x:v>1</x:v>
      </x:c>
      <x:c r="G10" s="85" t="str">
        <x:v>Extracted</x:v>
      </x:c>
    </x:row>
    <x:row r="11">
      <x:c r="A11" s="85" t="str">
        <x:v>1faa73a2-031e-4ac8-93b9-6902147984e7.pdf</x:v>
      </x:c>
      <x:c r="B11" s="85" t="str">
        <x:v>Invoice</x:v>
      </x:c>
      <x:c r="C11" s="85" t="n">
        <x:v>1</x:v>
      </x:c>
      <x:c r="D11" s="85" t="n">
        <x:v>57</x:v>
      </x:c>
      <x:c r="E11" s="85" t="n">
        <x:v>629</x:v>
      </x:c>
      <x:c r="F11" s="99" t="b">
        <x:v>0</x:v>
      </x:c>
      <x:c r="G11" s="85" t="str">
        <x:v>Extracted</x:v>
      </x:c>
    </x:row>
    <x:row r="12">
      <x:c r="A12" s="85" t="str">
        <x:v>2009e9ab-d1c7-4f92-8b07-eef21ea5b79a.pdf</x:v>
      </x:c>
      <x:c r="B12" s="85" t="str">
        <x:v>Financial report</x:v>
      </x:c>
      <x:c r="C12" s="85" t="n">
        <x:v>7</x:v>
      </x:c>
      <x:c r="D12" s="85" t="n">
        <x:v>55</x:v>
      </x:c>
      <x:c r="E12" s="85" t="n">
        <x:v>8606</x:v>
      </x:c>
      <x:c r="F12" s="99" t="b">
        <x:v>0</x:v>
      </x:c>
      <x:c r="G12" s="85" t="str">
        <x:v>Extracted</x:v>
      </x:c>
    </x:row>
    <x:row r="13">
      <x:c r="A13" s="85" t="str">
        <x:v>204a76a8-2372-4566-a5f7-d7eaab7828a1.pdf</x:v>
      </x:c>
      <x:c r="B13" s="85" t="str">
        <x:v>Supporting document</x:v>
      </x:c>
      <x:c r="C13" s="85" t="n">
        <x:v>8</x:v>
      </x:c>
      <x:c r="D13" s="85" t="n">
        <x:v>1651</x:v>
      </x:c>
      <x:c r="E13" s="85" t="n">
        <x:v>57577</x:v>
      </x:c>
      <x:c r="F13" s="99" t="b">
        <x:v>0</x:v>
      </x:c>
      <x:c r="G13" s="85" t="str">
        <x:v>Extracted</x:v>
      </x:c>
    </x:row>
    <x:row r="14">
      <x:c r="A14" s="85" t="str">
        <x:v>2608eb5b-bae7-4de0-89b2-d925156b6cd5.pdf</x:v>
      </x:c>
      <x:c r="B14" s="85" t="str">
        <x:v>Financial report</x:v>
      </x:c>
      <x:c r="C14" s="85" t="n">
        <x:v>7</x:v>
      </x:c>
      <x:c r="D14" s="85" t="n">
        <x:v>57</x:v>
      </x:c>
      <x:c r="E14" s="85" t="n">
        <x:v>9711</x:v>
      </x:c>
      <x:c r="F14" s="99" t="b">
        <x:v>1</x:v>
      </x:c>
      <x:c r="G14" s="85" t="str">
        <x:v>Extracted</x:v>
      </x:c>
    </x:row>
    <x:row r="15">
      <x:c r="A15" s="85" t="str">
        <x:v>287924cb-a252-47c0-92cb-74ea012b014e.pdf</x:v>
      </x:c>
      <x:c r="B15" s="85" t="str">
        <x:v>Financial report</x:v>
      </x:c>
      <x:c r="C15" s="85" t="n">
        <x:v>7</x:v>
      </x:c>
      <x:c r="D15" s="85" t="n">
        <x:v>55</x:v>
      </x:c>
      <x:c r="E15" s="85" t="n">
        <x:v>8524</x:v>
      </x:c>
      <x:c r="F15" s="99" t="b">
        <x:v>1</x:v>
      </x:c>
      <x:c r="G15" s="85" t="str">
        <x:v>Extracted</x:v>
      </x:c>
    </x:row>
    <x:row r="16">
      <x:c r="A16" s="85" t="str">
        <x:v>2a3cccd6-aa01-40a0-be8e-e22be0aba9ad.pdf</x:v>
      </x:c>
      <x:c r="B16" s="85" t="str">
        <x:v>Scanned invoice / notice</x:v>
      </x:c>
      <x:c r="C16" s="85" t="n">
        <x:v>1</x:v>
      </x:c>
      <x:c r="D16" s="85" t="n">
        <x:v>361</x:v>
      </x:c>
      <x:c r="E16" s="85" t="n">
        <x:v>11</x:v>
      </x:c>
      <x:c r="F16" s="99" t="b">
        <x:v>0</x:v>
      </x:c>
      <x:c r="G16" s="85" t="str">
        <x:v>Manual review</x:v>
      </x:c>
    </x:row>
    <x:row r="17">
      <x:c r="A17" s="85" t="str">
        <x:v>2c6a8325-949a-4709-ad02-a71192553832.pdf</x:v>
      </x:c>
      <x:c r="B17" s="85" t="str">
        <x:v>Invoice</x:v>
      </x:c>
      <x:c r="C17" s="85" t="n">
        <x:v>2</x:v>
      </x:c>
      <x:c r="D17" s="85" t="n">
        <x:v>242</x:v>
      </x:c>
      <x:c r="E17" s="85" t="n">
        <x:v>820</x:v>
      </x:c>
      <x:c r="F17" s="99" t="b">
        <x:v>0</x:v>
      </x:c>
      <x:c r="G17" s="85" t="str">
        <x:v>Extracted</x:v>
      </x:c>
    </x:row>
    <x:row r="18">
      <x:c r="A18" s="85" t="str">
        <x:v>31539a58-e5ee-4165-90ba-8f7186ad20ad.pdf</x:v>
      </x:c>
      <x:c r="B18" s="85" t="str">
        <x:v>Invoice / payment advice</x:v>
      </x:c>
      <x:c r="C18" s="85" t="n">
        <x:v>1</x:v>
      </x:c>
      <x:c r="D18" s="85" t="n">
        <x:v>58</x:v>
      </x:c>
      <x:c r="E18" s="85" t="n">
        <x:v>1006</x:v>
      </x:c>
      <x:c r="F18" s="99" t="b">
        <x:v>0</x:v>
      </x:c>
      <x:c r="G18" s="85" t="str">
        <x:v>Extracted</x:v>
      </x:c>
    </x:row>
    <x:row r="19">
      <x:c r="A19" s="85" t="str">
        <x:v>3440ccdc-0fe2-4c10-8575-c6324a2e7bdd.pdf</x:v>
      </x:c>
      <x:c r="B19" s="85" t="str">
        <x:v>Invoice / payment advice</x:v>
      </x:c>
      <x:c r="C19" s="85" t="n">
        <x:v>1</x:v>
      </x:c>
      <x:c r="D19" s="85" t="n">
        <x:v>57</x:v>
      </x:c>
      <x:c r="E19" s="85" t="n">
        <x:v>946</x:v>
      </x:c>
      <x:c r="F19" s="99" t="b">
        <x:v>0</x:v>
      </x:c>
      <x:c r="G19" s="85" t="str">
        <x:v>Extracted</x:v>
      </x:c>
    </x:row>
    <x:row r="20">
      <x:c r="A20" s="85" t="str">
        <x:v>36669229-cc4b-4ca4-bf9a-48bc7f7b6b46.pdf</x:v>
      </x:c>
      <x:c r="B20" s="85" t="str">
        <x:v>Invoice / payment advice</x:v>
      </x:c>
      <x:c r="C20" s="85" t="n">
        <x:v>2</x:v>
      </x:c>
      <x:c r="D20" s="85" t="n">
        <x:v>68</x:v>
      </x:c>
      <x:c r="E20" s="85" t="n">
        <x:v>1396</x:v>
      </x:c>
      <x:c r="F20" s="99" t="b">
        <x:v>0</x:v>
      </x:c>
      <x:c r="G20" s="85" t="str">
        <x:v>Extracted</x:v>
      </x:c>
    </x:row>
    <x:row r="21">
      <x:c r="A21" s="85" t="str">
        <x:v>36ea5ed1-d3d9-46da-866a-e88d03a5692c.pdf</x:v>
      </x:c>
      <x:c r="B21" s="85" t="str">
        <x:v>Invoice / payment advice</x:v>
      </x:c>
      <x:c r="C21" s="85" t="n">
        <x:v>1</x:v>
      </x:c>
      <x:c r="D21" s="85" t="n">
        <x:v>57</x:v>
      </x:c>
      <x:c r="E21" s="85" t="n">
        <x:v>883</x:v>
      </x:c>
      <x:c r="F21" s="99" t="b">
        <x:v>0</x:v>
      </x:c>
      <x:c r="G21" s="85" t="str">
        <x:v>Extracted</x:v>
      </x:c>
    </x:row>
    <x:row r="22">
      <x:c r="A22" s="85" t="str">
        <x:v>3ca5c059-6b42-46a7-a350-6495d4994703.pdf</x:v>
      </x:c>
      <x:c r="B22" s="85" t="str">
        <x:v>Invoice</x:v>
      </x:c>
      <x:c r="C22" s="85" t="n">
        <x:v>1</x:v>
      </x:c>
      <x:c r="D22" s="85" t="n">
        <x:v>57</x:v>
      </x:c>
      <x:c r="E22" s="85" t="n">
        <x:v>791</x:v>
      </x:c>
      <x:c r="F22" s="99" t="b">
        <x:v>0</x:v>
      </x:c>
      <x:c r="G22" s="85" t="str">
        <x:v>Extracted</x:v>
      </x:c>
    </x:row>
    <x:row r="23">
      <x:c r="A23" s="85" t="str">
        <x:v>3d7d7bce-bf3d-491b-969b-5baadabfee30.pdf</x:v>
      </x:c>
      <x:c r="B23" s="85" t="str">
        <x:v>Invoice / payment advice</x:v>
      </x:c>
      <x:c r="C23" s="85" t="n">
        <x:v>2</x:v>
      </x:c>
      <x:c r="D23" s="85" t="n">
        <x:v>68</x:v>
      </x:c>
      <x:c r="E23" s="85" t="n">
        <x:v>1396</x:v>
      </x:c>
      <x:c r="F23" s="99" t="b">
        <x:v>0</x:v>
      </x:c>
      <x:c r="G23" s="85" t="str">
        <x:v>Extracted</x:v>
      </x:c>
    </x:row>
    <x:row r="24">
      <x:c r="A24" s="85" t="str">
        <x:v>3f2d42ba-672d-4bb0-8e90-7ff1e9d1dcb8.pdf</x:v>
      </x:c>
      <x:c r="B24" s="85" t="str">
        <x:v>Invoice</x:v>
      </x:c>
      <x:c r="C24" s="85" t="n">
        <x:v>2</x:v>
      </x:c>
      <x:c r="D24" s="85" t="n">
        <x:v>3711</x:v>
      </x:c>
      <x:c r="E24" s="85" t="n">
        <x:v>1466</x:v>
      </x:c>
      <x:c r="F24" s="99" t="b">
        <x:v>0</x:v>
      </x:c>
      <x:c r="G24" s="85" t="str">
        <x:v>Extracted</x:v>
      </x:c>
    </x:row>
    <x:row r="25">
      <x:c r="A25" s="85" t="str">
        <x:v>3f4c428b-6883-4bd4-a9ff-718e65a87cfd.pdf</x:v>
      </x:c>
      <x:c r="B25" s="85" t="str">
        <x:v>Invoice / payment advice</x:v>
      </x:c>
      <x:c r="C25" s="85" t="n">
        <x:v>1</x:v>
      </x:c>
      <x:c r="D25" s="85" t="n">
        <x:v>57</x:v>
      </x:c>
      <x:c r="E25" s="85" t="n">
        <x:v>898</x:v>
      </x:c>
      <x:c r="F25" s="99" t="b">
        <x:v>0</x:v>
      </x:c>
      <x:c r="G25" s="85" t="str">
        <x:v>Extracted</x:v>
      </x:c>
    </x:row>
    <x:row r="26">
      <x:c r="A26" s="85" t="str">
        <x:v>400b4f56-6fa1-4564-9822-1c7330936bef.pdf</x:v>
      </x:c>
      <x:c r="B26" s="85" t="str">
        <x:v>Invoice</x:v>
      </x:c>
      <x:c r="C26" s="85" t="n">
        <x:v>2</x:v>
      </x:c>
      <x:c r="D26" s="85" t="n">
        <x:v>586</x:v>
      </x:c>
      <x:c r="E26" s="85" t="n">
        <x:v>1647</x:v>
      </x:c>
      <x:c r="F26" s="99" t="b">
        <x:v>0</x:v>
      </x:c>
      <x:c r="G26" s="85" t="str">
        <x:v>Extracted</x:v>
      </x:c>
    </x:row>
    <x:row r="27">
      <x:c r="A27" s="85" t="str">
        <x:v>44345a94-4160-4a03-9864-67a7f89f4137.pdf</x:v>
      </x:c>
      <x:c r="B27" s="85" t="str">
        <x:v>Invoice</x:v>
      </x:c>
      <x:c r="C27" s="85" t="n">
        <x:v>1</x:v>
      </x:c>
      <x:c r="D27" s="85" t="n">
        <x:v>57</x:v>
      </x:c>
      <x:c r="E27" s="85" t="n">
        <x:v>569</x:v>
      </x:c>
      <x:c r="F27" s="99" t="b">
        <x:v>0</x:v>
      </x:c>
      <x:c r="G27" s="85" t="str">
        <x:v>Extracted</x:v>
      </x:c>
    </x:row>
    <x:row r="28">
      <x:c r="A28" s="85" t="str">
        <x:v>459ff2c6-6d8a-4ea3-bd84-c8cd5ba7e2da.pdf</x:v>
      </x:c>
      <x:c r="B28" s="85" t="str">
        <x:v>Invoice</x:v>
      </x:c>
      <x:c r="C28" s="85" t="n">
        <x:v>1</x:v>
      </x:c>
      <x:c r="D28" s="85" t="n">
        <x:v>226</x:v>
      </x:c>
      <x:c r="E28" s="85" t="n">
        <x:v>633</x:v>
      </x:c>
      <x:c r="F28" s="99" t="b">
        <x:v>0</x:v>
      </x:c>
      <x:c r="G28" s="85" t="str">
        <x:v>Extracted</x:v>
      </x:c>
    </x:row>
    <x:row r="29">
      <x:c r="A29" s="85" t="str">
        <x:v>47354bf2-f72d-4f5d-b000-8c7290dad8ed.pdf</x:v>
      </x:c>
      <x:c r="B29" s="85" t="str">
        <x:v>Invoice</x:v>
      </x:c>
      <x:c r="C29" s="85" t="n">
        <x:v>1</x:v>
      </x:c>
      <x:c r="D29" s="85" t="n">
        <x:v>56</x:v>
      </x:c>
      <x:c r="E29" s="85" t="n">
        <x:v>489</x:v>
      </x:c>
      <x:c r="F29" s="99" t="b">
        <x:v>0</x:v>
      </x:c>
      <x:c r="G29" s="85" t="str">
        <x:v>Extracted</x:v>
      </x:c>
    </x:row>
    <x:row r="30">
      <x:c r="A30" s="85" t="str">
        <x:v>4a0a8c9a-9653-455f-80ba-be77947feb2d.pdf</x:v>
      </x:c>
      <x:c r="B30" s="85" t="str">
        <x:v>Invoice</x:v>
      </x:c>
      <x:c r="C30" s="85" t="n">
        <x:v>2</x:v>
      </x:c>
      <x:c r="D30" s="85" t="n">
        <x:v>245</x:v>
      </x:c>
      <x:c r="E30" s="85" t="n">
        <x:v>821</x:v>
      </x:c>
      <x:c r="F30" s="99" t="b">
        <x:v>0</x:v>
      </x:c>
      <x:c r="G30" s="85" t="str">
        <x:v>Extracted</x:v>
      </x:c>
    </x:row>
    <x:row r="31">
      <x:c r="A31" s="85" t="str">
        <x:v>520945d6-272c-47d5-8368-83084ef8cfb4.pdf</x:v>
      </x:c>
      <x:c r="B31" s="85" t="str">
        <x:v>Financial report</x:v>
      </x:c>
      <x:c r="C31" s="85" t="n">
        <x:v>7</x:v>
      </x:c>
      <x:c r="D31" s="85" t="n">
        <x:v>55</x:v>
      </x:c>
      <x:c r="E31" s="85" t="n">
        <x:v>8728</x:v>
      </x:c>
      <x:c r="F31" s="99" t="b">
        <x:v>0</x:v>
      </x:c>
      <x:c r="G31" s="85" t="str">
        <x:v>Extracted</x:v>
      </x:c>
    </x:row>
    <x:row r="32">
      <x:c r="A32" s="85" t="str">
        <x:v>543c796a-aacc-48da-b61d-27ba6eb35da9.pdf</x:v>
      </x:c>
      <x:c r="B32" s="85" t="str">
        <x:v>Financial report</x:v>
      </x:c>
      <x:c r="C32" s="85" t="n">
        <x:v>7</x:v>
      </x:c>
      <x:c r="D32" s="85" t="n">
        <x:v>55</x:v>
      </x:c>
      <x:c r="E32" s="85" t="n">
        <x:v>8524</x:v>
      </x:c>
      <x:c r="F32" s="99" t="b">
        <x:v>1</x:v>
      </x:c>
      <x:c r="G32" s="85" t="str">
        <x:v>Extracted</x:v>
      </x:c>
    </x:row>
    <x:row r="33">
      <x:c r="A33" s="85" t="str">
        <x:v>57e7e5e6-780a-4f4f-b476-9a7accdbf050.pdf</x:v>
      </x:c>
      <x:c r="B33" s="85" t="str">
        <x:v>Bank statement</x:v>
      </x:c>
      <x:c r="C33" s="85" t="n">
        <x:v>2</x:v>
      </x:c>
      <x:c r="D33" s="85" t="n">
        <x:v>12</x:v>
      </x:c>
      <x:c r="E33" s="85" t="n">
        <x:v>3479</x:v>
      </x:c>
      <x:c r="F33" s="99" t="b">
        <x:v>0</x:v>
      </x:c>
      <x:c r="G33" s="85" t="str">
        <x:v>Extracted</x:v>
      </x:c>
    </x:row>
    <x:row r="34">
      <x:c r="A34" s="85" t="str">
        <x:v>5bfb98c6-452e-483e-bfb8-72c89548af3c.pdf</x:v>
      </x:c>
      <x:c r="B34" s="85" t="str">
        <x:v>Invoice</x:v>
      </x:c>
      <x:c r="C34" s="85" t="n">
        <x:v>1</x:v>
      </x:c>
      <x:c r="D34" s="85" t="n">
        <x:v>56</x:v>
      </x:c>
      <x:c r="E34" s="85" t="n">
        <x:v>472</x:v>
      </x:c>
      <x:c r="F34" s="99" t="b">
        <x:v>0</x:v>
      </x:c>
      <x:c r="G34" s="85" t="str">
        <x:v>Extracted</x:v>
      </x:c>
    </x:row>
    <x:row r="35">
      <x:c r="A35" s="85" t="str">
        <x:v>5c14116a-bf6e-4591-b2c9-8e1631622a28.pdf</x:v>
      </x:c>
      <x:c r="B35" s="85" t="str">
        <x:v>Financial report</x:v>
      </x:c>
      <x:c r="C35" s="85" t="n">
        <x:v>7</x:v>
      </x:c>
      <x:c r="D35" s="85" t="n">
        <x:v>57</x:v>
      </x:c>
      <x:c r="E35" s="85" t="n">
        <x:v>9711</x:v>
      </x:c>
      <x:c r="F35" s="99" t="b">
        <x:v>1</x:v>
      </x:c>
      <x:c r="G35" s="85" t="str">
        <x:v>Extracted</x:v>
      </x:c>
    </x:row>
    <x:row r="36">
      <x:c r="A36" s="85" t="str">
        <x:v>5e0c8fcb-0c94-4053-b945-203cdba5742f.pdf</x:v>
      </x:c>
      <x:c r="B36" s="85" t="str">
        <x:v>Bank statement</x:v>
      </x:c>
      <x:c r="C36" s="85" t="n">
        <x:v>3</x:v>
      </x:c>
      <x:c r="D36" s="85" t="n">
        <x:v>13</x:v>
      </x:c>
      <x:c r="E36" s="85" t="n">
        <x:v>4640</x:v>
      </x:c>
      <x:c r="F36" s="99" t="b">
        <x:v>0</x:v>
      </x:c>
      <x:c r="G36" s="85" t="str">
        <x:v>Extracted</x:v>
      </x:c>
    </x:row>
    <x:row r="37">
      <x:c r="A37" s="85" t="str">
        <x:v>608bfbc9-506a-4901-850d-5cfafb87734b.pdf</x:v>
      </x:c>
      <x:c r="B37" s="85" t="str">
        <x:v>Financial report</x:v>
      </x:c>
      <x:c r="C37" s="85" t="n">
        <x:v>7</x:v>
      </x:c>
      <x:c r="D37" s="85" t="n">
        <x:v>56</x:v>
      </x:c>
      <x:c r="E37" s="85" t="n">
        <x:v>8813</x:v>
      </x:c>
      <x:c r="F37" s="99" t="b">
        <x:v>1</x:v>
      </x:c>
      <x:c r="G37" s="85" t="str">
        <x:v>Extracted</x:v>
      </x:c>
    </x:row>
    <x:row r="38">
      <x:c r="A38" s="85" t="str">
        <x:v>6472b04a-91d7-454e-8d48-ddda82934628.pdf</x:v>
      </x:c>
      <x:c r="B38" s="85" t="str">
        <x:v>Invoice</x:v>
      </x:c>
      <x:c r="C38" s="85" t="n">
        <x:v>1</x:v>
      </x:c>
      <x:c r="D38" s="85" t="n">
        <x:v>66</x:v>
      </x:c>
      <x:c r="E38" s="85" t="n">
        <x:v>1043</x:v>
      </x:c>
      <x:c r="F38" s="99" t="b">
        <x:v>0</x:v>
      </x:c>
      <x:c r="G38" s="85" t="str">
        <x:v>Extracted</x:v>
      </x:c>
    </x:row>
    <x:row r="39">
      <x:c r="A39" s="85" t="str">
        <x:v>666bcd8c-fd80-4d34-b2d0-afa1fe0e5137.pdf</x:v>
      </x:c>
      <x:c r="B39" s="85" t="str">
        <x:v>Invoice</x:v>
      </x:c>
      <x:c r="C39" s="85" t="n">
        <x:v>2</x:v>
      </x:c>
      <x:c r="D39" s="85" t="n">
        <x:v>244</x:v>
      </x:c>
      <x:c r="E39" s="85" t="n">
        <x:v>821</x:v>
      </x:c>
      <x:c r="F39" s="99" t="b">
        <x:v>0</x:v>
      </x:c>
      <x:c r="G39" s="85" t="str">
        <x:v>Extracted</x:v>
      </x:c>
    </x:row>
    <x:row r="40">
      <x:c r="A40" s="85" t="str">
        <x:v>6960e706-6df5-45d2-8a9e-bb286a174c69.pdf</x:v>
      </x:c>
      <x:c r="B40" s="85" t="str">
        <x:v>Invoice / payment advice</x:v>
      </x:c>
      <x:c r="C40" s="85" t="n">
        <x:v>2</x:v>
      </x:c>
      <x:c r="D40" s="85" t="n">
        <x:v>68</x:v>
      </x:c>
      <x:c r="E40" s="85" t="n">
        <x:v>1396</x:v>
      </x:c>
      <x:c r="F40" s="99" t="b">
        <x:v>0</x:v>
      </x:c>
      <x:c r="G40" s="85" t="str">
        <x:v>Extracted</x:v>
      </x:c>
    </x:row>
    <x:row r="41">
      <x:c r="A41" s="85" t="str">
        <x:v>6b2dc0b1-6a59-47e4-82c2-c3f4b23c659d.pdf</x:v>
      </x:c>
      <x:c r="B41" s="85" t="str">
        <x:v>Invoice / payment advice</x:v>
      </x:c>
      <x:c r="C41" s="85" t="n">
        <x:v>2</x:v>
      </x:c>
      <x:c r="D41" s="85" t="n">
        <x:v>68</x:v>
      </x:c>
      <x:c r="E41" s="85" t="n">
        <x:v>1396</x:v>
      </x:c>
      <x:c r="F41" s="99" t="b">
        <x:v>0</x:v>
      </x:c>
      <x:c r="G41" s="85" t="str">
        <x:v>Extracted</x:v>
      </x:c>
    </x:row>
    <x:row r="42">
      <x:c r="A42" s="85" t="str">
        <x:v>6bf75ac6-5881-4f94-af09-ffda84ddc1c4.pdf</x:v>
      </x:c>
      <x:c r="B42" s="85" t="str">
        <x:v>Bank statement</x:v>
      </x:c>
      <x:c r="C42" s="85" t="n">
        <x:v>3</x:v>
      </x:c>
      <x:c r="D42" s="85" t="n">
        <x:v>13</x:v>
      </x:c>
      <x:c r="E42" s="85" t="n">
        <x:v>4542</x:v>
      </x:c>
      <x:c r="F42" s="99" t="b">
        <x:v>0</x:v>
      </x:c>
      <x:c r="G42" s="85" t="str">
        <x:v>Extracted</x:v>
      </x:c>
    </x:row>
    <x:row r="43">
      <x:c r="A43" s="85" t="str">
        <x:v>719cf9fe-0dcc-4c97-bbb7-dbb767dca085.pdf</x:v>
      </x:c>
      <x:c r="B43" s="85" t="str">
        <x:v>Invoice</x:v>
      </x:c>
      <x:c r="C43" s="85" t="n">
        <x:v>1</x:v>
      </x:c>
      <x:c r="D43" s="85" t="n">
        <x:v>67</x:v>
      </x:c>
      <x:c r="E43" s="85" t="n">
        <x:v>1446</x:v>
      </x:c>
      <x:c r="F43" s="99" t="b">
        <x:v>1</x:v>
      </x:c>
      <x:c r="G43" s="85" t="str">
        <x:v>Extracted</x:v>
      </x:c>
    </x:row>
    <x:row r="44">
      <x:c r="A44" s="85" t="str">
        <x:v>767dbfd9-5b10-4cf1-a439-44b9f77c80d4.pdf</x:v>
      </x:c>
      <x:c r="B44" s="85" t="str">
        <x:v>Invoice / payment advice</x:v>
      </x:c>
      <x:c r="C44" s="85" t="n">
        <x:v>1</x:v>
      </x:c>
      <x:c r="D44" s="85" t="n">
        <x:v>58</x:v>
      </x:c>
      <x:c r="E44" s="85" t="n">
        <x:v>1004</x:v>
      </x:c>
      <x:c r="F44" s="99" t="b">
        <x:v>0</x:v>
      </x:c>
      <x:c r="G44" s="85" t="str">
        <x:v>Extracted</x:v>
      </x:c>
    </x:row>
    <x:row r="45">
      <x:c r="A45" s="85" t="str">
        <x:v>79137686-3b50-46b7-b71d-502b5e2a6f6f.pdf</x:v>
      </x:c>
      <x:c r="B45" s="85" t="str">
        <x:v>Scanned invoice / notice</x:v>
      </x:c>
      <x:c r="C45" s="85" t="n">
        <x:v>2</x:v>
      </x:c>
      <x:c r="D45" s="85" t="n">
        <x:v>735</x:v>
      </x:c>
      <x:c r="E45" s="85" t="n">
        <x:v>22</x:v>
      </x:c>
      <x:c r="F45" s="99" t="b">
        <x:v>0</x:v>
      </x:c>
      <x:c r="G45" s="85" t="str">
        <x:v>Manual review</x:v>
      </x:c>
    </x:row>
    <x:row r="46">
      <x:c r="A46" s="85" t="str">
        <x:v>82b8a553-c8d3-4c0b-bbe9-eada83bee5bb.pdf</x:v>
      </x:c>
      <x:c r="B46" s="85" t="str">
        <x:v>Invoice / payment advice</x:v>
      </x:c>
      <x:c r="C46" s="85" t="n">
        <x:v>2</x:v>
      </x:c>
      <x:c r="D46" s="85" t="n">
        <x:v>68</x:v>
      </x:c>
      <x:c r="E46" s="85" t="n">
        <x:v>1396</x:v>
      </x:c>
      <x:c r="F46" s="99" t="b">
        <x:v>0</x:v>
      </x:c>
      <x:c r="G46" s="85" t="str">
        <x:v>Extracted</x:v>
      </x:c>
    </x:row>
    <x:row r="47">
      <x:c r="A47" s="85" t="str">
        <x:v>8419f5bb-fbc0-4ddb-b4e6-b705c2d13d6c.pdf</x:v>
      </x:c>
      <x:c r="B47" s="85" t="str">
        <x:v>Bank statement</x:v>
      </x:c>
      <x:c r="C47" s="85" t="n">
        <x:v>2</x:v>
      </x:c>
      <x:c r="D47" s="85" t="n">
        <x:v>12</x:v>
      </x:c>
      <x:c r="E47" s="85" t="n">
        <x:v>3377</x:v>
      </x:c>
      <x:c r="F47" s="99" t="b">
        <x:v>0</x:v>
      </x:c>
      <x:c r="G47" s="85" t="str">
        <x:v>Extracted</x:v>
      </x:c>
    </x:row>
    <x:row r="48">
      <x:c r="A48" s="85" t="str">
        <x:v>8fc1de85-3ce8-41bd-98c9-5024c5292b4f.pdf</x:v>
      </x:c>
      <x:c r="B48" s="85" t="str">
        <x:v>Scanned invoice / notice</x:v>
      </x:c>
      <x:c r="C48" s="85" t="n">
        <x:v>1</x:v>
      </x:c>
      <x:c r="D48" s="85" t="n">
        <x:v>430</x:v>
      </x:c>
      <x:c r="E48" s="85" t="n">
        <x:v>0</x:v>
      </x:c>
      <x:c r="F48" s="99" t="b">
        <x:v>0</x:v>
      </x:c>
      <x:c r="G48" s="85" t="str">
        <x:v>Manual review</x:v>
      </x:c>
    </x:row>
    <x:row r="49">
      <x:c r="A49" s="85" t="str">
        <x:v>8ff66b6c-4034-44e2-b1b2-df58bcf3bcea.pdf</x:v>
      </x:c>
      <x:c r="B49" s="85" t="str">
        <x:v>Invoice / payment advice</x:v>
      </x:c>
      <x:c r="C49" s="85" t="n">
        <x:v>1</x:v>
      </x:c>
      <x:c r="D49" s="85" t="n">
        <x:v>90</x:v>
      </x:c>
      <x:c r="E49" s="85" t="n">
        <x:v>896</x:v>
      </x:c>
      <x:c r="F49" s="99" t="b">
        <x:v>0</x:v>
      </x:c>
      <x:c r="G49" s="85" t="str">
        <x:v>Extracted</x:v>
      </x:c>
    </x:row>
    <x:row r="50">
      <x:c r="A50" s="85" t="str">
        <x:v>93861924-5e90-455a-b033-377e92dfdc11.pdf</x:v>
      </x:c>
      <x:c r="B50" s="85" t="str">
        <x:v>Invoice</x:v>
      </x:c>
      <x:c r="C50" s="85" t="n">
        <x:v>4</x:v>
      </x:c>
      <x:c r="D50" s="85" t="n">
        <x:v>228</x:v>
      </x:c>
      <x:c r="E50" s="85" t="n">
        <x:v>4305</x:v>
      </x:c>
      <x:c r="F50" s="99" t="b">
        <x:v>0</x:v>
      </x:c>
      <x:c r="G50" s="85" t="str">
        <x:v>Extracted</x:v>
      </x:c>
    </x:row>
    <x:row r="51">
      <x:c r="A51" s="85" t="str">
        <x:v>97149dfd-a513-4e08-ae60-e3def2cc0ec4.pdf</x:v>
      </x:c>
      <x:c r="B51" s="85" t="str">
        <x:v>Invoice</x:v>
      </x:c>
      <x:c r="C51" s="85" t="n">
        <x:v>1</x:v>
      </x:c>
      <x:c r="D51" s="85" t="n">
        <x:v>219</x:v>
      </x:c>
      <x:c r="E51" s="85" t="n">
        <x:v>965</x:v>
      </x:c>
      <x:c r="F51" s="99" t="b">
        <x:v>0</x:v>
      </x:c>
      <x:c r="G51" s="85" t="str">
        <x:v>Extracted</x:v>
      </x:c>
    </x:row>
    <x:row r="52">
      <x:c r="A52" s="85" t="str">
        <x:v>97be84d5-6c14-4b37-9cd7-6677402241dd.pdf</x:v>
      </x:c>
      <x:c r="B52" s="85" t="str">
        <x:v>Invoice / payment advice</x:v>
      </x:c>
      <x:c r="C52" s="85" t="n">
        <x:v>2</x:v>
      </x:c>
      <x:c r="D52" s="85" t="n">
        <x:v>68</x:v>
      </x:c>
      <x:c r="E52" s="85" t="n">
        <x:v>1396</x:v>
      </x:c>
      <x:c r="F52" s="99" t="b">
        <x:v>0</x:v>
      </x:c>
      <x:c r="G52" s="85" t="str">
        <x:v>Extracted</x:v>
      </x:c>
    </x:row>
    <x:row r="53">
      <x:c r="A53" s="85" t="str">
        <x:v>9ede318f-5f86-49de-9afe-e3b04b75d670.pdf</x:v>
      </x:c>
      <x:c r="B53" s="85" t="str">
        <x:v>Invoice / payment advice</x:v>
      </x:c>
      <x:c r="C53" s="85" t="n">
        <x:v>1</x:v>
      </x:c>
      <x:c r="D53" s="85" t="n">
        <x:v>33</x:v>
      </x:c>
      <x:c r="E53" s="85" t="n">
        <x:v>647</x:v>
      </x:c>
      <x:c r="F53" s="99" t="b">
        <x:v>0</x:v>
      </x:c>
      <x:c r="G53" s="85" t="str">
        <x:v>Extracted</x:v>
      </x:c>
    </x:row>
    <x:row r="54">
      <x:c r="A54" s="85" t="str">
        <x:v>a716713a-3b7e-4e8e-9ef2-12acf57fdc6f.pdf</x:v>
      </x:c>
      <x:c r="B54" s="85" t="str">
        <x:v>Invoice / payment advice</x:v>
      </x:c>
      <x:c r="C54" s="85" t="n">
        <x:v>1</x:v>
      </x:c>
      <x:c r="D54" s="85" t="n">
        <x:v>33</x:v>
      </x:c>
      <x:c r="E54" s="85" t="n">
        <x:v>649</x:v>
      </x:c>
      <x:c r="F54" s="99" t="b">
        <x:v>0</x:v>
      </x:c>
      <x:c r="G54" s="85" t="str">
        <x:v>Extracted</x:v>
      </x:c>
    </x:row>
    <x:row r="55">
      <x:c r="A55" s="85" t="str">
        <x:v>adf691ac-52d9-46df-a890-1239fa5fa706.pdf</x:v>
      </x:c>
      <x:c r="B55" s="85" t="str">
        <x:v>Invoice / payment advice</x:v>
      </x:c>
      <x:c r="C55" s="85" t="n">
        <x:v>1</x:v>
      </x:c>
      <x:c r="D55" s="85" t="n">
        <x:v>33</x:v>
      </x:c>
      <x:c r="E55" s="85" t="n">
        <x:v>640</x:v>
      </x:c>
      <x:c r="F55" s="99" t="b">
        <x:v>0</x:v>
      </x:c>
      <x:c r="G55" s="85" t="str">
        <x:v>Extracted</x:v>
      </x:c>
    </x:row>
    <x:row r="56">
      <x:c r="A56" s="85" t="str">
        <x:v>afd87c76-90c1-4b51-a60c-d4e35d7239fa.pdf</x:v>
      </x:c>
      <x:c r="B56" s="85" t="str">
        <x:v>Invoice</x:v>
      </x:c>
      <x:c r="C56" s="85" t="n">
        <x:v>4</x:v>
      </x:c>
      <x:c r="D56" s="85" t="n">
        <x:v>230</x:v>
      </x:c>
      <x:c r="E56" s="85" t="n">
        <x:v>4126</x:v>
      </x:c>
      <x:c r="F56" s="99" t="b">
        <x:v>0</x:v>
      </x:c>
      <x:c r="G56" s="85" t="str">
        <x:v>Extracted</x:v>
      </x:c>
    </x:row>
    <x:row r="57">
      <x:c r="A57" s="85" t="str">
        <x:v>b0a4902c-5585-45c3-8f87-f7500d76a72b.pdf</x:v>
      </x:c>
      <x:c r="B57" s="85" t="str">
        <x:v>Scanned invoice / notice</x:v>
      </x:c>
      <x:c r="C57" s="85" t="n">
        <x:v>1</x:v>
      </x:c>
      <x:c r="D57" s="85" t="n">
        <x:v>431</x:v>
      </x:c>
      <x:c r="E57" s="85" t="n">
        <x:v>0</x:v>
      </x:c>
      <x:c r="F57" s="99" t="b">
        <x:v>0</x:v>
      </x:c>
      <x:c r="G57" s="85" t="str">
        <x:v>Manual review</x:v>
      </x:c>
    </x:row>
    <x:row r="58">
      <x:c r="A58" s="85" t="str">
        <x:v>b145c3a9-7c5c-40f8-962a-bf2bf339e14e.pdf</x:v>
      </x:c>
      <x:c r="B58" s="85" t="str">
        <x:v>Financial report</x:v>
      </x:c>
      <x:c r="C58" s="85" t="n">
        <x:v>7</x:v>
      </x:c>
      <x:c r="D58" s="85" t="n">
        <x:v>57</x:v>
      </x:c>
      <x:c r="E58" s="85" t="n">
        <x:v>9510</x:v>
      </x:c>
      <x:c r="F58" s="99" t="b">
        <x:v>0</x:v>
      </x:c>
      <x:c r="G58" s="85" t="str">
        <x:v>Extracted</x:v>
      </x:c>
    </x:row>
    <x:row r="59">
      <x:c r="A59" s="85" t="str">
        <x:v>b1ed1f33-8e1c-4b3b-9a42-5f6681987c6a.pdf</x:v>
      </x:c>
      <x:c r="B59" s="85" t="str">
        <x:v>Invoice / payment advice</x:v>
      </x:c>
      <x:c r="C59" s="85" t="n">
        <x:v>1</x:v>
      </x:c>
      <x:c r="D59" s="85" t="n">
        <x:v>33</x:v>
      </x:c>
      <x:c r="E59" s="85" t="n">
        <x:v>663</x:v>
      </x:c>
      <x:c r="F59" s="99" t="b">
        <x:v>0</x:v>
      </x:c>
      <x:c r="G59" s="85" t="str">
        <x:v>Extracted</x:v>
      </x:c>
    </x:row>
    <x:row r="60">
      <x:c r="A60" s="85" t="str">
        <x:v>b2ca02de-2832-44ae-8cd0-d8111a7fb6fd.pdf</x:v>
      </x:c>
      <x:c r="B60" s="85" t="str">
        <x:v>Invoice</x:v>
      </x:c>
      <x:c r="C60" s="85" t="n">
        <x:v>1</x:v>
      </x:c>
      <x:c r="D60" s="85" t="n">
        <x:v>149</x:v>
      </x:c>
      <x:c r="E60" s="85" t="n">
        <x:v>613</x:v>
      </x:c>
      <x:c r="F60" s="99" t="b">
        <x:v>0</x:v>
      </x:c>
      <x:c r="G60" s="85" t="str">
        <x:v>Extracted</x:v>
      </x:c>
    </x:row>
    <x:row r="61">
      <x:c r="A61" s="85" t="str">
        <x:v>b84b8ad5-5faa-46b7-b6c2-270ca02992f4.pdf</x:v>
      </x:c>
      <x:c r="B61" s="85" t="str">
        <x:v>Invoice</x:v>
      </x:c>
      <x:c r="C61" s="85" t="n">
        <x:v>1</x:v>
      </x:c>
      <x:c r="D61" s="85" t="n">
        <x:v>209</x:v>
      </x:c>
      <x:c r="E61" s="85" t="n">
        <x:v>860</x:v>
      </x:c>
      <x:c r="F61" s="99" t="b">
        <x:v>0</x:v>
      </x:c>
      <x:c r="G61" s="85" t="str">
        <x:v>Extracted</x:v>
      </x:c>
    </x:row>
    <x:row r="62">
      <x:c r="A62" s="85" t="str">
        <x:v>b9f23366-699a-4825-bc61-15ac64a56cc8.pdf</x:v>
      </x:c>
      <x:c r="B62" s="85" t="str">
        <x:v>Invoice</x:v>
      </x:c>
      <x:c r="C62" s="85" t="n">
        <x:v>2</x:v>
      </x:c>
      <x:c r="D62" s="85" t="n">
        <x:v>299</x:v>
      </x:c>
      <x:c r="E62" s="85" t="n">
        <x:v>1673</x:v>
      </x:c>
      <x:c r="F62" s="99" t="b">
        <x:v>0</x:v>
      </x:c>
      <x:c r="G62" s="85" t="str">
        <x:v>Extracted</x:v>
      </x:c>
    </x:row>
    <x:row r="63">
      <x:c r="A63" s="85" t="str">
        <x:v>be350bcd-9278-428d-bbb5-481cb7532f50.pdf</x:v>
      </x:c>
      <x:c r="B63" s="85" t="str">
        <x:v>Invoice</x:v>
      </x:c>
      <x:c r="C63" s="85" t="n">
        <x:v>1</x:v>
      </x:c>
      <x:c r="D63" s="85" t="n">
        <x:v>56</x:v>
      </x:c>
      <x:c r="E63" s="85" t="n">
        <x:v>472</x:v>
      </x:c>
      <x:c r="F63" s="99" t="b">
        <x:v>0</x:v>
      </x:c>
      <x:c r="G63" s="85" t="str">
        <x:v>Extracted</x:v>
      </x:c>
    </x:row>
    <x:row r="64">
      <x:c r="A64" s="85" t="str">
        <x:v>be66aa00-3ecb-4068-a92c-61c31b0a4556.pdf</x:v>
      </x:c>
      <x:c r="B64" s="85" t="str">
        <x:v>Invoice</x:v>
      </x:c>
      <x:c r="C64" s="85" t="n">
        <x:v>2</x:v>
      </x:c>
      <x:c r="D64" s="85" t="n">
        <x:v>2874</x:v>
      </x:c>
      <x:c r="E64" s="85" t="n">
        <x:v>1317</x:v>
      </x:c>
      <x:c r="F64" s="99" t="b">
        <x:v>0</x:v>
      </x:c>
      <x:c r="G64" s="85" t="str">
        <x:v>Extracted</x:v>
      </x:c>
    </x:row>
    <x:row r="65">
      <x:c r="A65" s="85" t="str">
        <x:v>be93843f-ae64-4c2c-a63c-1d0948772cfc.pdf</x:v>
      </x:c>
      <x:c r="B65" s="85" t="str">
        <x:v>Invoice / payment advice</x:v>
      </x:c>
      <x:c r="C65" s="85" t="n">
        <x:v>2</x:v>
      </x:c>
      <x:c r="D65" s="85" t="n">
        <x:v>68</x:v>
      </x:c>
      <x:c r="E65" s="85" t="n">
        <x:v>1396</x:v>
      </x:c>
      <x:c r="F65" s="99" t="b">
        <x:v>0</x:v>
      </x:c>
      <x:c r="G65" s="85" t="str">
        <x:v>Extracted</x:v>
      </x:c>
    </x:row>
    <x:row r="66">
      <x:c r="A66" s="85" t="str">
        <x:v>c2f16d8f-5f5c-474d-a29a-caf905e2f260.pdf</x:v>
      </x:c>
      <x:c r="B66" s="85" t="str">
        <x:v>Financial report</x:v>
      </x:c>
      <x:c r="C66" s="85" t="n">
        <x:v>7</x:v>
      </x:c>
      <x:c r="D66" s="85" t="n">
        <x:v>57</x:v>
      </x:c>
      <x:c r="E66" s="85" t="n">
        <x:v>9591</x:v>
      </x:c>
      <x:c r="F66" s="99" t="b">
        <x:v>0</x:v>
      </x:c>
      <x:c r="G66" s="85" t="str">
        <x:v>Extracted</x:v>
      </x:c>
    </x:row>
    <x:row r="67">
      <x:c r="A67" s="85" t="str">
        <x:v>c330ec33-cd50-463d-85af-a81f911acc68.pdf</x:v>
      </x:c>
      <x:c r="B67" s="85" t="str">
        <x:v>Invoice / payment advice</x:v>
      </x:c>
      <x:c r="C67" s="85" t="n">
        <x:v>1</x:v>
      </x:c>
      <x:c r="D67" s="85" t="n">
        <x:v>66</x:v>
      </x:c>
      <x:c r="E67" s="85" t="n">
        <x:v>1180</x:v>
      </x:c>
      <x:c r="F67" s="99" t="b">
        <x:v>0</x:v>
      </x:c>
      <x:c r="G67" s="85" t="str">
        <x:v>Extracted</x:v>
      </x:c>
    </x:row>
    <x:row r="68">
      <x:c r="A68" s="85" t="str">
        <x:v>c7bdea12-cf70-461d-8ae2-7e2a6630a78a.pdf</x:v>
      </x:c>
      <x:c r="B68" s="85" t="str">
        <x:v>Invoice / payment advice</x:v>
      </x:c>
      <x:c r="C68" s="85" t="n">
        <x:v>1</x:v>
      </x:c>
      <x:c r="D68" s="85" t="n">
        <x:v>57</x:v>
      </x:c>
      <x:c r="E68" s="85" t="n">
        <x:v>1054</x:v>
      </x:c>
      <x:c r="F68" s="99" t="b">
        <x:v>0</x:v>
      </x:c>
      <x:c r="G68" s="85" t="str">
        <x:v>Extracted</x:v>
      </x:c>
    </x:row>
    <x:row r="69">
      <x:c r="A69" s="85" t="str">
        <x:v>c83d0fed-c355-4bb4-abb5-2a19a34c88ac.pdf</x:v>
      </x:c>
      <x:c r="B69" s="85" t="str">
        <x:v>Bank statement</x:v>
      </x:c>
      <x:c r="C69" s="85" t="n">
        <x:v>3</x:v>
      </x:c>
      <x:c r="D69" s="85" t="n">
        <x:v>14</x:v>
      </x:c>
      <x:c r="E69" s="85" t="n">
        <x:v>5088</x:v>
      </x:c>
      <x:c r="F69" s="99" t="b">
        <x:v>0</x:v>
      </x:c>
      <x:c r="G69" s="85" t="str">
        <x:v>Extracted</x:v>
      </x:c>
    </x:row>
    <x:row r="70">
      <x:c r="A70" s="85" t="str">
        <x:v>d90bd0a2-ee48-4cb8-8350-16357c91c14d.pdf</x:v>
      </x:c>
      <x:c r="B70" s="85" t="str">
        <x:v>Invoice</x:v>
      </x:c>
      <x:c r="C70" s="85" t="n">
        <x:v>2</x:v>
      </x:c>
      <x:c r="D70" s="85" t="n">
        <x:v>39</x:v>
      </x:c>
      <x:c r="E70" s="85" t="n">
        <x:v>3645</x:v>
      </x:c>
      <x:c r="F70" s="99" t="b">
        <x:v>0</x:v>
      </x:c>
      <x:c r="G70" s="85" t="str">
        <x:v>Extracted</x:v>
      </x:c>
    </x:row>
    <x:row r="71">
      <x:c r="A71" s="85" t="str">
        <x:v>da9eb9a0-be99-4d83-bdfb-e7c0fef345d8.pdf</x:v>
      </x:c>
      <x:c r="B71" s="85" t="str">
        <x:v>Invoice / payment advice</x:v>
      </x:c>
      <x:c r="C71" s="85" t="n">
        <x:v>2</x:v>
      </x:c>
      <x:c r="D71" s="85" t="n">
        <x:v>68</x:v>
      </x:c>
      <x:c r="E71" s="85" t="n">
        <x:v>1396</x:v>
      </x:c>
      <x:c r="F71" s="99" t="b">
        <x:v>0</x:v>
      </x:c>
      <x:c r="G71" s="85" t="str">
        <x:v>Extracted</x:v>
      </x:c>
    </x:row>
    <x:row r="72">
      <x:c r="A72" s="85" t="str">
        <x:v>db7f8fd6-d2a2-41b2-9caa-2e9de6417b8a.pdf</x:v>
      </x:c>
      <x:c r="B72" s="85" t="str">
        <x:v>Invoice</x:v>
      </x:c>
      <x:c r="C72" s="85" t="n">
        <x:v>4</x:v>
      </x:c>
      <x:c r="D72" s="85" t="n">
        <x:v>230</x:v>
      </x:c>
      <x:c r="E72" s="85" t="n">
        <x:v>4130</x:v>
      </x:c>
      <x:c r="F72" s="99" t="b">
        <x:v>0</x:v>
      </x:c>
      <x:c r="G72" s="85" t="str">
        <x:v>Extracted</x:v>
      </x:c>
    </x:row>
    <x:row r="73">
      <x:c r="A73" s="85" t="str">
        <x:v>ed1caad8-b06e-4194-bed2-0c4cafd8d9c8.pdf</x:v>
      </x:c>
      <x:c r="B73" s="85" t="str">
        <x:v>Invoice</x:v>
      </x:c>
      <x:c r="C73" s="85" t="n">
        <x:v>1</x:v>
      </x:c>
      <x:c r="D73" s="85" t="n">
        <x:v>69</x:v>
      </x:c>
      <x:c r="E73" s="85" t="n">
        <x:v>934</x:v>
      </x:c>
      <x:c r="F73" s="99" t="b">
        <x:v>0</x:v>
      </x:c>
      <x:c r="G73" s="85" t="str">
        <x:v>Extracted</x:v>
      </x:c>
    </x:row>
    <x:row r="74">
      <x:c r="A74" s="85" t="str">
        <x:v>ef538ebe-f0e6-49e7-9792-6d189e1be8fa.pdf</x:v>
      </x:c>
      <x:c r="B74" s="85" t="str">
        <x:v>Bank statement</x:v>
      </x:c>
      <x:c r="C74" s="85" t="n">
        <x:v>3</x:v>
      </x:c>
      <x:c r="D74" s="85" t="n">
        <x:v>14</x:v>
      </x:c>
      <x:c r="E74" s="85" t="n">
        <x:v>4762</x:v>
      </x:c>
      <x:c r="F74" s="99" t="b">
        <x:v>0</x:v>
      </x:c>
      <x:c r="G74" s="85" t="str">
        <x:v>Extracted</x:v>
      </x:c>
    </x:row>
    <x:row r="75">
      <x:c r="A75" s="85" t="str">
        <x:v>f015d779-58a4-4e80-9b26-c112c2595a1b.pdf</x:v>
      </x:c>
      <x:c r="B75" s="85" t="str">
        <x:v>Invoice</x:v>
      </x:c>
      <x:c r="C75" s="85" t="n">
        <x:v>2</x:v>
      </x:c>
      <x:c r="D75" s="85" t="n">
        <x:v>245</x:v>
      </x:c>
      <x:c r="E75" s="85" t="n">
        <x:v>820</x:v>
      </x:c>
      <x:c r="F75" s="99" t="b">
        <x:v>0</x:v>
      </x:c>
      <x:c r="G75" s="85" t="str">
        <x:v>Extracted</x:v>
      </x:c>
    </x:row>
    <x:row r="76">
      <x:c r="A76" s="85" t="str">
        <x:v>f45efb86-4732-4a00-b042-71924e804855.pdf</x:v>
      </x:c>
      <x:c r="B76" s="85" t="str">
        <x:v>Invoice / payment advice</x:v>
      </x:c>
      <x:c r="C76" s="85" t="n">
        <x:v>1</x:v>
      </x:c>
      <x:c r="D76" s="85" t="n">
        <x:v>40</x:v>
      </x:c>
      <x:c r="E76" s="85" t="n">
        <x:v>679</x:v>
      </x:c>
      <x:c r="F76" s="99" t="b">
        <x:v>0</x:v>
      </x:c>
      <x:c r="G76" s="85" t="str">
        <x:v>Extracted</x:v>
      </x:c>
    </x:row>
    <x:row r="77">
      <x:c r="A77" s="85" t="str">
        <x:v>f888d23e-3c02-471f-a2f5-1057ccf8d559.pdf</x:v>
      </x:c>
      <x:c r="B77" s="85" t="str">
        <x:v>Invoice / payment advice</x:v>
      </x:c>
      <x:c r="C77" s="85" t="n">
        <x:v>1</x:v>
      </x:c>
      <x:c r="D77" s="85" t="n">
        <x:v>58</x:v>
      </x:c>
      <x:c r="E77" s="85" t="n">
        <x:v>824</x:v>
      </x:c>
      <x:c r="F77" s="99" t="b">
        <x:v>0</x:v>
      </x:c>
      <x:c r="G77" s="85" t="str">
        <x:v>Extracted</x:v>
      </x:c>
    </x:row>
    <x:row r="78">
      <x:c r="A78" s="86" t="str">
        <x:v>AGM Notice_35001_20260325.pdf</x:v>
      </x:c>
      <x:c r="B78" s="86" t="str">
        <x:v>AGM notice / adopted budget source</x:v>
      </x:c>
      <x:c r="C78" s="86" t="n">
        <x:v>48</x:v>
      </x:c>
      <x:c r="D78" s="86" t="n">
        <x:v>2333</x:v>
      </x:c>
      <x:c r="E78" s="86" t="n">
        <x:v>0</x:v>
      </x:c>
      <x:c r="F78" s="100" t="b">
        <x:v>0</x:v>
      </x:c>
      <x:c r="G78" s="86" t="str">
        <x:v>Budget and levy schedule extracted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57cab706d847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6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</x:cols>
  <x:sheetData>
    <x:row r="1" ht="34" customHeight="1">
      <x:c r="A1" s="3" t="str">
        <x:v>Checks &amp; Controls</x:v>
      </x:c>
      <x:c r="B1" s="3" t="str">
        <x:v>Checks &amp; Controls</x:v>
      </x:c>
      <x:c r="C1" s="3" t="str">
        <x:v>Checks &amp; Controls</x:v>
      </x:c>
      <x:c r="D1" s="3" t="str">
        <x:v>Checks &amp; Controls</x:v>
      </x:c>
    </x:row>
    <x:row r="2" ht="26" customHeight="1">
      <x:c r="A2" s="6" t="str">
        <x:v>PASS means the source-backed arithmetic reconciles; it does not replace committee approval or accounting review.</x:v>
      </x:c>
      <x:c r="B2" s="6" t="str">
        <x:v>PASS means the source-backed arithmetic reconciles; it does not replace committee approval or accounting review.</x:v>
      </x:c>
      <x:c r="C2" s="6" t="str">
        <x:v>PASS means the source-backed arithmetic reconciles; it does not replace committee approval or accounting review.</x:v>
      </x:c>
      <x:c r="D2" s="6" t="str">
        <x:v>PASS means the source-backed arithmetic reconciles; it does not replace committee approval or accounting review.</x:v>
      </x:c>
    </x:row>
    <x:row r="4" ht="28" customHeight="1">
      <x:c r="A4" s="13" t="str">
        <x:v>Check</x:v>
      </x:c>
      <x:c r="B4" s="30" t="str">
        <x:v>Result / Delta</x:v>
      </x:c>
      <x:c r="C4" s="30" t="str">
        <x:v>Status</x:v>
      </x:c>
      <x:c r="D4" s="14" t="str">
        <x:v>Notes</x:v>
      </x:c>
    </x:row>
    <x:row r="5">
      <x:c r="A5" s="41" t="str">
        <x:v>Bank roll-forward to 31 Jul 2026</x:v>
      </x:c>
      <x:c r="B5" s="116" t="n">
        <x:f>53572.31+SUM('Cash Ledger'!$H$5:$H$115)-SUM('Cash Ledger'!$G$5:$G$115)-150803.47</x:f>
        <x:v>-2.9103830456733704e-11</x:v>
      </x:c>
      <x:c r="C5" s="63" t="str">
        <x:f>IF(ABS(B5)&lt;0.01,"PASS","FAIL")</x:f>
        <x:v>PASS</x:v>
      </x:c>
      <x:c r="D5" s="41" t="str">
        <x:v>Opening $53,572.31 + credits - debits must equal the 31 Jul bank closing balance of $150,803.47.</x:v>
      </x:c>
    </x:row>
    <x:row r="6">
      <x:c r="A6" s="42" t="str">
        <x:v>July financial report cash split</x:v>
      </x:c>
      <x:c r="B6" s="117" t="n">
        <x:f>'Fund Snapshots'!B8+'Fund Snapshots'!C8-'Fund Snapshots'!D8</x:f>
        <x:v>0</x:v>
      </x:c>
      <x:c r="C6" s="64" t="str">
        <x:f>IF(ABS(B6)&lt;0.01,"PASS","FAIL")</x:f>
        <x:v>PASS</x:v>
      </x:c>
      <x:c r="D6" s="42" t="str">
        <x:v>Administrative cash + Sinking cash must equal consolidated cash.</x:v>
      </x:c>
    </x:row>
    <x:row r="7">
      <x:c r="A7" s="42" t="str">
        <x:v>Invoice duplicates are flagged</x:v>
      </x:c>
      <x:c r="B7" s="42" t="n">
        <x:v>0</x:v>
      </x:c>
      <x:c r="C7" s="64" t="str">
        <x:f>IF(B7=0,"PASS","FAIL")</x:f>
        <x:v>PASS</x:v>
      </x:c>
      <x:c r="D7" s="42" t="str">
        <x:v>Duplicate invoice downloads are excluded. Separate repeated payments would remain as cash-ledger rows.</x:v>
      </x:c>
    </x:row>
    <x:row r="8">
      <x:c r="A8" s="42" t="str">
        <x:v>Post-statement invoices identified</x:v>
      </x:c>
      <x:c r="B8" s="42" t="n">
        <x:f>COUNTIF('Invoice Register'!$L$5:$L$57,"After latest bank statement")</x:f>
        <x:v>3</x:v>
      </x:c>
      <x:c r="C8" s="64" t="str">
        <x:f>IF(B8&gt;=1,"PASS","REVIEW")</x:f>
        <x:v>PASS</x:v>
      </x:c>
      <x:c r="D8" s="42" t="str">
        <x:v>These invoices cannot be tested against bank evidence ending 31 Jul 2026.</x:v>
      </x:c>
    </x:row>
    <x:row r="9">
      <x:c r="A9" s="43" t="str">
        <x:v>All supplied PDFs registered</x:v>
      </x:c>
      <x:c r="B9" s="43" t="n">
        <x:f>COUNTA('Document Register'!$A$5:$A$78)-74</x:f>
        <x:v>0</x:v>
      </x:c>
      <x:c r="C9" s="65" t="str">
        <x:f>IF(B9=0,"PASS","FAIL")</x:f>
        <x:v>PASS</x:v>
      </x:c>
      <x:c r="D9" s="43" t="str">
        <x:v>The register should contain exactly 74 source documents.</x:v>
      </x:c>
    </x:row>
    <x:row r="12">
      <x:c r="A12" s="126" t="str">
        <x:v>MODEL STATUS</x:v>
      </x:c>
      <x:c r="B12" s="126" t="str">
        <x:f>IF(COUNTIF(C5:C9,"FAIL")=0,"PASS","FAIL")</x:f>
        <x:v>PASS</x:v>
      </x:c>
    </x:row>
    <x:row r="15" ht="28" customHeight="1">
      <x:c r="A15" s="13" t="str">
        <x:v>Period End</x:v>
      </x:c>
      <x:c r="B15" s="30" t="str">
        <x:v>Opening</x:v>
      </x:c>
      <x:c r="C15" s="30" t="str">
        <x:v>Credits</x:v>
      </x:c>
      <x:c r="D15" s="30" t="str">
        <x:v>Debits</x:v>
      </x:c>
      <x:c r="E15" s="30" t="str">
        <x:v>Bank Closing</x:v>
      </x:c>
      <x:c r="F15" s="30" t="str">
        <x:v>Admin Cash</x:v>
      </x:c>
      <x:c r="G15" s="30" t="str">
        <x:v>Sinking Cash</x:v>
      </x:c>
      <x:c r="H15" s="30" t="str">
        <x:v>Report Consolidated</x:v>
      </x:c>
      <x:c r="I15" s="30" t="str">
        <x:v>Delta</x:v>
      </x:c>
      <x:c r="J15" s="14" t="str">
        <x:v>Status</x:v>
      </x:c>
    </x:row>
    <x:row r="16">
      <x:c r="A16" s="127" t="n">
        <x:v>46052</x:v>
      </x:c>
      <x:c r="B16" s="122" t="n">
        <x:v>53572.31</x:v>
      </x:c>
      <x:c r="C16" s="122" t="n">
        <x:v>81323.85</x:v>
      </x:c>
      <x:c r="D16" s="122" t="n">
        <x:v>11164.58</x:v>
      </x:c>
      <x:c r="E16" s="122" t="n">
        <x:v>123731.58</x:v>
      </x:c>
      <x:c r="F16" s="122" t="n">
        <x:v>24821.77</x:v>
      </x:c>
      <x:c r="G16" s="122" t="n">
        <x:v>98909.81</x:v>
      </x:c>
      <x:c r="H16" s="122" t="n">
        <x:v>123731.58</x:v>
      </x:c>
      <x:c r="I16" s="122" t="n">
        <x:v>0</x:v>
      </x:c>
      <x:c r="J16" s="130" t="str">
        <x:v>PASS</x:v>
      </x:c>
    </x:row>
    <x:row r="17">
      <x:c r="A17" s="128" t="n">
        <x:v>46080</x:v>
      </x:c>
      <x:c r="B17" s="123" t="n">
        <x:v>123731.58</x:v>
      </x:c>
      <x:c r="C17" s="123" t="n">
        <x:v>32176.52</x:v>
      </x:c>
      <x:c r="D17" s="123" t="n">
        <x:v>17478.36</x:v>
      </x:c>
      <x:c r="E17" s="123" t="n">
        <x:v>138429.74</x:v>
      </x:c>
      <x:c r="F17" s="123" t="n">
        <x:v>11775.03</x:v>
      </x:c>
      <x:c r="G17" s="123" t="n">
        <x:v>126654.71</x:v>
      </x:c>
      <x:c r="H17" s="123" t="n">
        <x:v>138429.74</x:v>
      </x:c>
      <x:c r="I17" s="123" t="n">
        <x:v>0</x:v>
      </x:c>
      <x:c r="J17" s="131" t="str">
        <x:v>PASS</x:v>
      </x:c>
    </x:row>
    <x:row r="18">
      <x:c r="A18" s="128" t="n">
        <x:v>46112</x:v>
      </x:c>
      <x:c r="B18" s="123" t="n">
        <x:v>138429.74</x:v>
      </x:c>
      <x:c r="C18" s="123" t="n">
        <x:v>310.44</x:v>
      </x:c>
      <x:c r="D18" s="123" t="n">
        <x:v>1782.48</x:v>
      </x:c>
      <x:c r="E18" s="123" t="n">
        <x:v>136957.7</x:v>
      </x:c>
      <x:c r="F18" s="123" t="n">
        <x:v>10014.55</x:v>
      </x:c>
      <x:c r="G18" s="123" t="n">
        <x:v>126943.15</x:v>
      </x:c>
      <x:c r="H18" s="123" t="n">
        <x:v>136957.7</x:v>
      </x:c>
      <x:c r="I18" s="123" t="n">
        <x:v>0</x:v>
      </x:c>
      <x:c r="J18" s="131" t="str">
        <x:v>PASS</x:v>
      </x:c>
    </x:row>
    <x:row r="19">
      <x:c r="A19" s="128" t="n">
        <x:v>46142</x:v>
      </x:c>
      <x:c r="B19" s="123" t="n">
        <x:v>136957.7</x:v>
      </x:c>
      <x:c r="C19" s="123" t="n">
        <x:v>0</x:v>
      </x:c>
      <x:c r="D19" s="123" t="n">
        <x:v>3295.88</x:v>
      </x:c>
      <x:c r="E19" s="123" t="n">
        <x:v>133661.82</x:v>
      </x:c>
      <x:c r="F19" s="123" t="n">
        <x:v>8753.67</x:v>
      </x:c>
      <x:c r="G19" s="123" t="n">
        <x:v>124908.15</x:v>
      </x:c>
      <x:c r="H19" s="123" t="n">
        <x:v>133661.82</x:v>
      </x:c>
      <x:c r="I19" s="123" t="n">
        <x:v>0</x:v>
      </x:c>
      <x:c r="J19" s="131" t="str">
        <x:v>PASS</x:v>
      </x:c>
    </x:row>
    <x:row r="20">
      <x:c r="A20" s="128" t="n">
        <x:v>46171</x:v>
      </x:c>
      <x:c r="B20" s="123" t="n">
        <x:v>133661.82</x:v>
      </x:c>
      <x:c r="C20" s="123" t="n">
        <x:v>12960</x:v>
      </x:c>
      <x:c r="D20" s="123" t="n">
        <x:v>7064.01</x:v>
      </x:c>
      <x:c r="E20" s="123" t="n">
        <x:v>139557.81</x:v>
      </x:c>
      <x:c r="F20" s="123" t="n">
        <x:v>12338.16</x:v>
      </x:c>
      <x:c r="G20" s="123" t="n">
        <x:v>127219.65</x:v>
      </x:c>
      <x:c r="H20" s="123" t="n">
        <x:v>139557.81</x:v>
      </x:c>
      <x:c r="I20" s="123" t="n">
        <x:v>0</x:v>
      </x:c>
      <x:c r="J20" s="131" t="str">
        <x:v>PASS</x:v>
      </x:c>
    </x:row>
    <x:row r="21">
      <x:c r="A21" s="128" t="n">
        <x:v>46203</x:v>
      </x:c>
      <x:c r="B21" s="123" t="n">
        <x:v>139557.81</x:v>
      </x:c>
      <x:c r="C21" s="123" t="n">
        <x:v>11869.08</x:v>
      </x:c>
      <x:c r="D21" s="123" t="n">
        <x:v>3642.71</x:v>
      </x:c>
      <x:c r="E21" s="123" t="n">
        <x:v>147784.18</x:v>
      </x:c>
      <x:c r="F21" s="123" t="n">
        <x:v>17464.53</x:v>
      </x:c>
      <x:c r="G21" s="123" t="n">
        <x:v>130319.65</x:v>
      </x:c>
      <x:c r="H21" s="123" t="n">
        <x:v>147784.18</x:v>
      </x:c>
      <x:c r="I21" s="123" t="n">
        <x:v>0</x:v>
      </x:c>
      <x:c r="J21" s="131" t="str">
        <x:v>PASS</x:v>
      </x:c>
    </x:row>
    <x:row r="22">
      <x:c r="A22" s="129" t="n">
        <x:v>46234</x:v>
      </x:c>
      <x:c r="B22" s="124" t="n">
        <x:v>147784.18</x:v>
      </x:c>
      <x:c r="C22" s="124" t="n">
        <x:v>7200</x:v>
      </x:c>
      <x:c r="D22" s="124" t="n">
        <x:v>4180.71</x:v>
      </x:c>
      <x:c r="E22" s="124" t="n">
        <x:v>150803.47</x:v>
      </x:c>
      <x:c r="F22" s="124" t="n">
        <x:v>19818.82</x:v>
      </x:c>
      <x:c r="G22" s="124" t="n">
        <x:v>130984.65</x:v>
      </x:c>
      <x:c r="H22" s="124" t="n">
        <x:v>150803.47</x:v>
      </x:c>
      <x:c r="I22" s="124" t="n">
        <x:v>0</x:v>
      </x:c>
      <x:c r="J22" s="132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